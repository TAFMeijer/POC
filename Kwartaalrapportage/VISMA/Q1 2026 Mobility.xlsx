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gf-my.sharepoint.com/personal/tom_meijer_theglobalfund_org/Documents/Documents/Temp/Blueplates/Rapportage/Q1 2026/VISMA/"/>
    </mc:Choice>
  </mc:AlternateContent>
  <xr:revisionPtr revIDLastSave="84" documentId="11_1793008D02D80C5747D2C04F36DF63C4FFAA5679" xr6:coauthVersionLast="47" xr6:coauthVersionMax="47" xr10:uidLastSave="{5030A43B-8674-8C49-B636-C9DA53C36DDA}"/>
  <bookViews>
    <workbookView xWindow="-38400" yWindow="600" windowWidth="38400" windowHeight="21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K34" i="1" l="1"/>
  <c r="K31" i="1"/>
  <c r="K30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" i="1"/>
  <c r="K44" i="1"/>
  <c r="K43" i="1"/>
  <c r="K42" i="1"/>
  <c r="K41" i="1"/>
  <c r="K40" i="1"/>
  <c r="K39" i="1"/>
  <c r="K38" i="1"/>
  <c r="K37" i="1"/>
  <c r="K36" i="1"/>
  <c r="K35" i="1"/>
  <c r="K33" i="1"/>
  <c r="K32" i="1"/>
  <c r="K29" i="1"/>
  <c r="K28" i="1"/>
  <c r="K27" i="1"/>
  <c r="K25" i="1"/>
  <c r="K24" i="1"/>
  <c r="K23" i="1"/>
  <c r="K22" i="1"/>
  <c r="K21" i="1"/>
  <c r="K20" i="1"/>
  <c r="K19" i="1"/>
  <c r="K18" i="1"/>
  <c r="K17" i="1"/>
  <c r="K16" i="1"/>
  <c r="K15" i="1"/>
  <c r="K14" i="1"/>
  <c r="K12" i="1"/>
  <c r="K11" i="1"/>
  <c r="K10" i="1"/>
  <c r="K9" i="1"/>
  <c r="K8" i="1"/>
</calcChain>
</file>

<file path=xl/sharedStrings.xml><?xml version="1.0" encoding="utf-8"?>
<sst xmlns="http://schemas.openxmlformats.org/spreadsheetml/2006/main" count="230" uniqueCount="166">
  <si>
    <t>Organisatie:</t>
  </si>
  <si>
    <t>OOY Mobility B.V.</t>
  </si>
  <si>
    <t>Periode:</t>
  </si>
  <si>
    <t>Datum:</t>
  </si>
  <si>
    <t>Pagina:</t>
  </si>
  <si>
    <t>Gebruiker:</t>
  </si>
  <si>
    <t>1 van 2</t>
  </si>
  <si>
    <t>Tom Meijer</t>
  </si>
  <si>
    <t>01-2026 - 03-2026</t>
  </si>
  <si>
    <t>Grootboek</t>
  </si>
  <si>
    <t>Grootboek:</t>
  </si>
  <si>
    <t>0000-9999</t>
  </si>
  <si>
    <t>Rekeningen:</t>
  </si>
  <si>
    <t>Proefbalans (overzicht)</t>
  </si>
  <si>
    <t/>
  </si>
  <si>
    <t>Eindsaldo</t>
  </si>
  <si>
    <t>Credit</t>
  </si>
  <si>
    <t>Debet</t>
  </si>
  <si>
    <t>Beginsaldo</t>
  </si>
  <si>
    <t>Omschrijving</t>
  </si>
  <si>
    <t>Rekening</t>
  </si>
  <si>
    <t>Soort</t>
  </si>
  <si>
    <t>025000</t>
  </si>
  <si>
    <t>Inventaris</t>
  </si>
  <si>
    <t>A</t>
  </si>
  <si>
    <t>025010</t>
  </si>
  <si>
    <t>Inventaris -afschrijvingen</t>
  </si>
  <si>
    <t>025200</t>
  </si>
  <si>
    <t>Software</t>
  </si>
  <si>
    <t>025210</t>
  </si>
  <si>
    <t>Software -afschrijvingen</t>
  </si>
  <si>
    <t>100101</t>
  </si>
  <si>
    <t>BUNQ 545 - BLUEPLATES NL18 BUNQ 2047 7795 45</t>
  </si>
  <si>
    <t>100102</t>
  </si>
  <si>
    <t>Rabobank NL13 RABO 0362 6631 30</t>
  </si>
  <si>
    <t>100103</t>
  </si>
  <si>
    <t>Mollie</t>
  </si>
  <si>
    <t>119000</t>
  </si>
  <si>
    <t>Kruisposten algemeen</t>
  </si>
  <si>
    <t>132000</t>
  </si>
  <si>
    <t>Debiteuren</t>
  </si>
  <si>
    <t>173200</t>
  </si>
  <si>
    <t>BTW te vorderen laag</t>
  </si>
  <si>
    <t>174500</t>
  </si>
  <si>
    <t>BTW te vorderen buiten EU</t>
  </si>
  <si>
    <t>174600</t>
  </si>
  <si>
    <t>BTW verlegd buiten EU (credit)</t>
  </si>
  <si>
    <t>050000</t>
  </si>
  <si>
    <t>Aandelenkapitaal</t>
  </si>
  <si>
    <t>L</t>
  </si>
  <si>
    <t>054000</t>
  </si>
  <si>
    <t>Winstreserves</t>
  </si>
  <si>
    <t>054020</t>
  </si>
  <si>
    <t>Resultaat huidig jaar</t>
  </si>
  <si>
    <t>082000</t>
  </si>
  <si>
    <t>Onderhandse leningen</t>
  </si>
  <si>
    <t>083000</t>
  </si>
  <si>
    <t>Onderhandse lening OOY holding</t>
  </si>
  <si>
    <t>084000</t>
  </si>
  <si>
    <t>Bankleningen</t>
  </si>
  <si>
    <t>133001</t>
  </si>
  <si>
    <t>Tussenrekening incasso OUD - Kleisteen</t>
  </si>
  <si>
    <t>134000</t>
  </si>
  <si>
    <t>Tussenrekening mollie</t>
  </si>
  <si>
    <t>142090</t>
  </si>
  <si>
    <t>Overlopende Activa</t>
  </si>
  <si>
    <t>149100</t>
  </si>
  <si>
    <t>R/c OOY Holding B.V.</t>
  </si>
  <si>
    <t>149200</t>
  </si>
  <si>
    <t>R/c OOY Group Holding</t>
  </si>
  <si>
    <t>149300</t>
  </si>
  <si>
    <t>R/c OOY TECH</t>
  </si>
  <si>
    <t>149500</t>
  </si>
  <si>
    <t>R/c OOY Vehicies</t>
  </si>
  <si>
    <t>149600</t>
  </si>
  <si>
    <t>R/c STAK OOY</t>
  </si>
  <si>
    <t>149700</t>
  </si>
  <si>
    <t>R/c STOTO</t>
  </si>
  <si>
    <t>153000</t>
  </si>
  <si>
    <t>Crediteuren</t>
  </si>
  <si>
    <t>162090</t>
  </si>
  <si>
    <t>Overlopende passiva</t>
  </si>
  <si>
    <t>162091</t>
  </si>
  <si>
    <t>Overlopende passiva App Blueplates</t>
  </si>
  <si>
    <t>169000</t>
  </si>
  <si>
    <t>Vooruitbetaalde bedragen</t>
  </si>
  <si>
    <t>171000</t>
  </si>
  <si>
    <t>Vennootschapsbelasting (VPB)</t>
  </si>
  <si>
    <t>171001</t>
  </si>
  <si>
    <t>Latentie vennootschapsbelasting (VPB)</t>
  </si>
  <si>
    <t>172000</t>
  </si>
  <si>
    <t>BTW af te dragen belast met 0%</t>
  </si>
  <si>
    <t>172100</t>
  </si>
  <si>
    <t>BTW verkopen hoog -af te dragen</t>
  </si>
  <si>
    <t>173100</t>
  </si>
  <si>
    <t>BTW voorbelastingen/uitgaven</t>
  </si>
  <si>
    <t>176000</t>
  </si>
  <si>
    <t>Betaalde/ontvangen BTW</t>
  </si>
  <si>
    <t>221100</t>
  </si>
  <si>
    <t>Vraagposten</t>
  </si>
  <si>
    <t>800100</t>
  </si>
  <si>
    <t>Omzet algemeen 21%</t>
  </si>
  <si>
    <t>I</t>
  </si>
  <si>
    <t>800102</t>
  </si>
  <si>
    <t>Omzet administratiekosten</t>
  </si>
  <si>
    <t>800103</t>
  </si>
  <si>
    <t>Boete chauffeurs 0%</t>
  </si>
  <si>
    <t>800104</t>
  </si>
  <si>
    <t>Boete chauffeurs 21%</t>
  </si>
  <si>
    <t>800105</t>
  </si>
  <si>
    <t>Reservering voertuig 21%</t>
  </si>
  <si>
    <t>800106</t>
  </si>
  <si>
    <t>Extra kilometers</t>
  </si>
  <si>
    <t>800107</t>
  </si>
  <si>
    <t>Eigen Risico chauffeurs 0%</t>
  </si>
  <si>
    <t>800111</t>
  </si>
  <si>
    <t>Rijtegoed</t>
  </si>
  <si>
    <t>800113</t>
  </si>
  <si>
    <t>Abonnement</t>
  </si>
  <si>
    <t>800117</t>
  </si>
  <si>
    <t>Eigen Risico chauffeurs 21%</t>
  </si>
  <si>
    <t>800500</t>
  </si>
  <si>
    <t>Omzet management fee</t>
  </si>
  <si>
    <t>402401</t>
  </si>
  <si>
    <t>KantineKosten</t>
  </si>
  <si>
    <t>E</t>
  </si>
  <si>
    <t>429000</t>
  </si>
  <si>
    <t>Overige huisvestingsKosten</t>
  </si>
  <si>
    <t>Lease- en huurKosten auto</t>
  </si>
  <si>
    <t>442000</t>
  </si>
  <si>
    <t>OnderhoudsKosten auto</t>
  </si>
  <si>
    <t>443000</t>
  </si>
  <si>
    <t>Brandstof/benzine</t>
  </si>
  <si>
    <t>449000</t>
  </si>
  <si>
    <t>Overige autoKosten</t>
  </si>
  <si>
    <t>464300</t>
  </si>
  <si>
    <t>Porti - Transportkosten</t>
  </si>
  <si>
    <t>474000</t>
  </si>
  <si>
    <t>Kantoorartikelen</t>
  </si>
  <si>
    <t>474200</t>
  </si>
  <si>
    <t>Telefoonkosten</t>
  </si>
  <si>
    <t>475000</t>
  </si>
  <si>
    <t>Computer &amp; software Kosten</t>
  </si>
  <si>
    <t>476000</t>
  </si>
  <si>
    <t>Accountant- administratieKosten</t>
  </si>
  <si>
    <t>479000</t>
  </si>
  <si>
    <t>Overige kantoorKosten</t>
  </si>
  <si>
    <t>481000</t>
  </si>
  <si>
    <t>Contributies en abonnementen</t>
  </si>
  <si>
    <t>484200</t>
  </si>
  <si>
    <t>AdviesKosten</t>
  </si>
  <si>
    <t>486100</t>
  </si>
  <si>
    <t>Betalings- en koersverschillen</t>
  </si>
  <si>
    <t>486400</t>
  </si>
  <si>
    <t>Afrondingsverschillen</t>
  </si>
  <si>
    <t>486600</t>
  </si>
  <si>
    <t>Management fee</t>
  </si>
  <si>
    <t>641100</t>
  </si>
  <si>
    <t>BankKosten</t>
  </si>
  <si>
    <t>710000</t>
  </si>
  <si>
    <t>Inkopen</t>
  </si>
  <si>
    <t>Totaal:</t>
  </si>
  <si>
    <t>Correctie Beginsaldo</t>
  </si>
  <si>
    <t>Correctie Debet</t>
  </si>
  <si>
    <t>Correctie Credit</t>
  </si>
  <si>
    <t>Correctie Eindsaldo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</si>
</sst>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\-yyyy\ hh:mm"/>
    <numFmt numFmtId="165" formatCode="#,##0.00;[Red]\-#,##0.00"/>
  </numFmts>
  <fonts count="8" x14ac:knownFonts="1">
    <font>
      <sz val="9"/>
      <name val="Tahoma"/>
    </font>
    <font>
      <sz val="8"/>
      <name val="Arial"/>
      <family val="2"/>
    </font>
    <font>
      <sz val="8"/>
      <name val="Tahoma"/>
      <family val="2"/>
    </font>
    <font>
      <b/>
      <sz val="9"/>
      <name val="Tahoma"/>
      <family val="2"/>
    </font>
    <font>
      <sz val="8"/>
      <color rgb="FFFF0000"/>
      <name val="Tahoma"/>
      <family val="2"/>
    </font>
    <font>
      <b/>
      <sz val="8"/>
      <name val="Arial"/>
      <family val="2"/>
    </font>
    <font>
      <sz val="9"/>
      <name val="Tahoma"/>
      <family val="2"/>
    </font>
    <font>
      <sz val="9"/>
      <color rgb="FFFF0000"/>
      <name val="Tahoma"/>
      <family val="2"/>
    </font>
  </fonts>
  <fills count="8"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solid">
        <fgColor rgb="FFE6E6FA"/>
        <bgColor rgb="FFE6E6FA"/>
      </patternFill>
    </fill>
    <fill>
      <patternFill patternType="none">
        <fgColor auto="1"/>
        <bgColor auto="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E6E6FA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80"/>
      </top>
      <bottom/>
      <diagonal/>
    </border>
    <border>
      <left/>
      <right/>
      <top style="thin">
        <color rgb="FF000080"/>
      </top>
      <bottom style="thin">
        <color rgb="FF000080"/>
      </bottom>
      <diagonal/>
    </border>
    <border>
      <left/>
      <right/>
      <top style="thin">
        <color rgb="FF000000"/>
      </top>
      <bottom/>
      <diagonal/>
    </border>
  </borders>
  <cellStyleXfs count="46">
    <xf numFmtId="0" fontId="0" fillId="0" borderId="0" applyAlignment="0"/>
    <xf numFmtId="0" fontId="6" fillId="2" borderId="1" applyAlignment="0"/>
    <xf numFmtId="0" fontId="1" fillId="2" borderId="1" applyAlignment="0"/>
    <xf numFmtId="0" fontId="1" fillId="2" borderId="1">
      <alignment horizontal="left" vertical="top"/>
    </xf>
    <xf numFmtId="0" fontId="1" fillId="2" borderId="1">
      <alignment horizontal="left" vertical="top"/>
    </xf>
    <xf numFmtId="0" fontId="1" fillId="2" borderId="1">
      <alignment horizontal="right" vertical="top"/>
    </xf>
    <xf numFmtId="0" fontId="1" fillId="2" borderId="1">
      <alignment horizontal="right" vertical="top"/>
    </xf>
    <xf numFmtId="164" fontId="1" fillId="2" borderId="1">
      <alignment horizontal="right" vertical="top"/>
    </xf>
    <xf numFmtId="0" fontId="2" fillId="2" borderId="1" applyAlignment="0"/>
    <xf numFmtId="0" fontId="2" fillId="2" borderId="1">
      <alignment horizontal="left" vertical="top"/>
    </xf>
    <xf numFmtId="0" fontId="2" fillId="2" borderId="1">
      <alignment horizontal="left" vertical="top"/>
    </xf>
    <xf numFmtId="0" fontId="2" fillId="2" borderId="1">
      <alignment horizontal="right" vertical="top"/>
    </xf>
    <xf numFmtId="0" fontId="2" fillId="2" borderId="1">
      <alignment horizontal="right" vertical="top"/>
    </xf>
    <xf numFmtId="0" fontId="3" fillId="2" borderId="1" applyAlignment="0"/>
    <xf numFmtId="0" fontId="3" fillId="2" borderId="1">
      <alignment horizontal="left" vertical="top"/>
    </xf>
    <xf numFmtId="0" fontId="3" fillId="2" borderId="1">
      <alignment horizontal="left" vertical="top"/>
    </xf>
    <xf numFmtId="0" fontId="4" fillId="2" borderId="1" applyAlignment="0"/>
    <xf numFmtId="0" fontId="4" fillId="2" borderId="1">
      <alignment horizontal="left" vertical="top"/>
    </xf>
    <xf numFmtId="0" fontId="4" fillId="2" borderId="1">
      <alignment horizontal="left" vertical="top"/>
    </xf>
    <xf numFmtId="0" fontId="5" fillId="2" borderId="1" applyAlignment="0"/>
    <xf numFmtId="0" fontId="5" fillId="2" borderId="1">
      <alignment horizontal="right" vertical="top"/>
    </xf>
    <xf numFmtId="0" fontId="5" fillId="2" borderId="1">
      <alignment horizontal="right" vertical="top"/>
    </xf>
    <xf numFmtId="0" fontId="5" fillId="2" borderId="1">
      <alignment horizontal="left" vertical="top"/>
    </xf>
    <xf numFmtId="0" fontId="5" fillId="2" borderId="1">
      <alignment horizontal="left" vertical="top"/>
    </xf>
    <xf numFmtId="0" fontId="5" fillId="2" borderId="2">
      <alignment horizontal="left" vertical="top"/>
    </xf>
    <xf numFmtId="0" fontId="5" fillId="2" borderId="2">
      <alignment horizontal="right" vertical="top"/>
    </xf>
    <xf numFmtId="0" fontId="5" fillId="2" borderId="3">
      <alignment horizontal="left" vertical="top"/>
    </xf>
    <xf numFmtId="0" fontId="5" fillId="2" borderId="3">
      <alignment horizontal="right" vertical="top"/>
    </xf>
    <xf numFmtId="0" fontId="5" fillId="3" borderId="3">
      <alignment horizontal="left" vertical="top"/>
    </xf>
    <xf numFmtId="0" fontId="5" fillId="3" borderId="3">
      <alignment horizontal="right" vertical="top"/>
    </xf>
    <xf numFmtId="165" fontId="1" fillId="2" borderId="1">
      <alignment horizontal="right" vertical="top"/>
    </xf>
    <xf numFmtId="0" fontId="6" fillId="0" borderId="4"/>
    <xf numFmtId="0" fontId="5" fillId="4" borderId="4">
      <alignment horizontal="left" vertical="top"/>
    </xf>
    <xf numFmtId="165" fontId="5" fillId="2" borderId="1">
      <alignment horizontal="right" vertical="top"/>
    </xf>
    <xf numFmtId="165" fontId="5" fillId="4" borderId="4">
      <alignment horizontal="right" vertical="top"/>
    </xf>
    <xf numFmtId="0" fontId="3" fillId="5" borderId="1">
      <alignment horizontal="left" vertical="top"/>
    </xf>
    <xf numFmtId="0" fontId="6" fillId="5" borderId="0"/>
    <xf numFmtId="0" fontId="1" fillId="5" borderId="1">
      <alignment horizontal="left" vertical="top"/>
    </xf>
    <xf numFmtId="0" fontId="1" fillId="5" borderId="1">
      <alignment horizontal="right" vertical="top"/>
    </xf>
    <xf numFmtId="0" fontId="2" fillId="5" borderId="1">
      <alignment horizontal="left" vertical="top"/>
    </xf>
    <xf numFmtId="164" fontId="1" fillId="5" borderId="1">
      <alignment horizontal="right" vertical="top"/>
    </xf>
    <xf numFmtId="0" fontId="2" fillId="5" borderId="1">
      <alignment horizontal="right" vertical="top"/>
    </xf>
    <xf numFmtId="0" fontId="4" fillId="5" borderId="1">
      <alignment horizontal="left" vertical="top"/>
    </xf>
    <xf numFmtId="165" fontId="1" fillId="5" borderId="1">
      <alignment horizontal="right" vertical="top"/>
    </xf>
    <xf numFmtId="0" fontId="5" fillId="5" borderId="4">
      <alignment horizontal="left" vertical="top"/>
    </xf>
    <xf numFmtId="165" fontId="5" fillId="5" borderId="4">
      <alignment horizontal="right" vertical="top"/>
    </xf>
  </cellStyleXfs>
  <cellXfs count="20">
    <xf numFmtId="0" fontId="0" fillId="0" borderId="0" xfId="0"/>
    <xf numFmtId="0" fontId="5" fillId="3" borderId="3" xfId="28">
      <alignment horizontal="left" vertical="top"/>
    </xf>
    <xf numFmtId="0" fontId="5" fillId="3" borderId="3" xfId="29">
      <alignment horizontal="right" vertical="top"/>
    </xf>
    <xf numFmtId="0" fontId="3" fillId="5" borderId="1" xfId="35">
      <alignment horizontal="left" vertical="top"/>
    </xf>
    <xf numFmtId="0" fontId="6" fillId="5" borderId="0" xfId="36"/>
    <xf numFmtId="0" fontId="1" fillId="5" borderId="1" xfId="37">
      <alignment horizontal="left" vertical="top"/>
    </xf>
    <xf numFmtId="0" fontId="1" fillId="5" borderId="1" xfId="38">
      <alignment horizontal="right" vertical="top"/>
    </xf>
    <xf numFmtId="0" fontId="2" fillId="5" borderId="1" xfId="39">
      <alignment horizontal="left" vertical="top"/>
    </xf>
    <xf numFmtId="164" fontId="1" fillId="5" borderId="1" xfId="40">
      <alignment horizontal="right" vertical="top"/>
    </xf>
    <xf numFmtId="0" fontId="2" fillId="5" borderId="1" xfId="41">
      <alignment horizontal="right" vertical="top"/>
    </xf>
    <xf numFmtId="0" fontId="4" fillId="5" borderId="1" xfId="42">
      <alignment horizontal="left" vertical="top"/>
    </xf>
    <xf numFmtId="165" fontId="1" fillId="5" borderId="1" xfId="43">
      <alignment horizontal="right" vertical="top"/>
    </xf>
    <xf numFmtId="0" fontId="5" fillId="5" borderId="4" xfId="44">
      <alignment horizontal="left" vertical="top"/>
    </xf>
    <xf numFmtId="165" fontId="5" fillId="5" borderId="4" xfId="45">
      <alignment horizontal="right" vertical="top"/>
    </xf>
    <xf numFmtId="0" fontId="5" fillId="6" borderId="1" xfId="29" applyFill="1" applyBorder="1">
      <alignment horizontal="right" vertical="top"/>
    </xf>
    <xf numFmtId="3" fontId="0" fillId="0" borderId="0" xfId="0" applyNumberFormat="1"/>
    <xf numFmtId="4" fontId="0" fillId="0" borderId="0" xfId="0" applyNumberFormat="1"/>
    <xf numFmtId="4" fontId="7" fillId="7" borderId="0" xfId="0" applyNumberFormat="1" applyFont="1" applyFill="1"/>
    <xf numFmtId="4" fontId="6" fillId="0" borderId="0" xfId="0" applyNumberFormat="1" applyFont="1" applyFill="1"/>
    <xf numFmtId="0" fontId="6" fillId="0" borderId="0" xfId="0" applyFont="1"/>
  </cellXfs>
  <cellStyles count="46">
    <cellStyle name="Normal" xfId="0" builtinId="0"/>
    <cellStyle name="Style 1" xfId="1" xr:uid="{00000000-0005-0000-0000-000001000000}"/>
    <cellStyle name="Style 10" xfId="10" xr:uid="{00000000-0005-0000-0000-00000A000000}"/>
    <cellStyle name="Style 11" xfId="11" xr:uid="{00000000-0005-0000-0000-00000B000000}"/>
    <cellStyle name="Style 12" xfId="12" xr:uid="{00000000-0005-0000-0000-00000C000000}"/>
    <cellStyle name="Style 13" xfId="13" xr:uid="{00000000-0005-0000-0000-00000D000000}"/>
    <cellStyle name="Style 14" xfId="14" xr:uid="{00000000-0005-0000-0000-00000E000000}"/>
    <cellStyle name="Style 15" xfId="15" xr:uid="{00000000-0005-0000-0000-00000F000000}"/>
    <cellStyle name="Style 16" xfId="16" xr:uid="{00000000-0005-0000-0000-000010000000}"/>
    <cellStyle name="Style 17" xfId="17" xr:uid="{00000000-0005-0000-0000-000011000000}"/>
    <cellStyle name="Style 18" xfId="18" xr:uid="{00000000-0005-0000-0000-000012000000}"/>
    <cellStyle name="Style 19" xfId="19" xr:uid="{00000000-0005-0000-0000-000013000000}"/>
    <cellStyle name="Style 2" xfId="2" xr:uid="{00000000-0005-0000-0000-000002000000}"/>
    <cellStyle name="Style 20" xfId="20" xr:uid="{00000000-0005-0000-0000-000014000000}"/>
    <cellStyle name="Style 21" xfId="21" xr:uid="{00000000-0005-0000-0000-000015000000}"/>
    <cellStyle name="Style 22" xfId="22" xr:uid="{00000000-0005-0000-0000-000016000000}"/>
    <cellStyle name="Style 23" xfId="23" xr:uid="{00000000-0005-0000-0000-000017000000}"/>
    <cellStyle name="Style 24" xfId="24" xr:uid="{00000000-0005-0000-0000-000018000000}"/>
    <cellStyle name="Style 25" xfId="25" xr:uid="{00000000-0005-0000-0000-000019000000}"/>
    <cellStyle name="Style 26" xfId="26" xr:uid="{00000000-0005-0000-0000-00001A000000}"/>
    <cellStyle name="Style 27" xfId="27" xr:uid="{00000000-0005-0000-0000-00001B000000}"/>
    <cellStyle name="Style 28" xfId="28" xr:uid="{00000000-0005-0000-0000-00001C000000}"/>
    <cellStyle name="Style 29" xfId="29" xr:uid="{00000000-0005-0000-0000-00001D000000}"/>
    <cellStyle name="Style 3" xfId="3" xr:uid="{00000000-0005-0000-0000-000003000000}"/>
    <cellStyle name="Style 30" xfId="30" xr:uid="{00000000-0005-0000-0000-00001E000000}"/>
    <cellStyle name="Style 31" xfId="31" xr:uid="{00000000-0005-0000-0000-00001F000000}"/>
    <cellStyle name="Style 32" xfId="32" xr:uid="{00000000-0005-0000-0000-000020000000}"/>
    <cellStyle name="Style 33" xfId="33" xr:uid="{00000000-0005-0000-0000-000021000000}"/>
    <cellStyle name="Style 34" xfId="34" xr:uid="{00000000-0005-0000-0000-000022000000}"/>
    <cellStyle name="Style 35" xfId="35" xr:uid="{00000000-0005-0000-0000-000023000000}"/>
    <cellStyle name="Style 36" xfId="36" xr:uid="{00000000-0005-0000-0000-000024000000}"/>
    <cellStyle name="Style 37" xfId="37" xr:uid="{00000000-0005-0000-0000-000025000000}"/>
    <cellStyle name="Style 38" xfId="38" xr:uid="{00000000-0005-0000-0000-000026000000}"/>
    <cellStyle name="Style 39" xfId="39" xr:uid="{00000000-0005-0000-0000-000027000000}"/>
    <cellStyle name="Style 4" xfId="4" xr:uid="{00000000-0005-0000-0000-000004000000}"/>
    <cellStyle name="Style 40" xfId="40" xr:uid="{00000000-0005-0000-0000-000028000000}"/>
    <cellStyle name="Style 41" xfId="41" xr:uid="{00000000-0005-0000-0000-000029000000}"/>
    <cellStyle name="Style 42" xfId="42" xr:uid="{00000000-0005-0000-0000-00002A000000}"/>
    <cellStyle name="Style 43" xfId="43" xr:uid="{00000000-0005-0000-0000-00002B000000}"/>
    <cellStyle name="Style 44" xfId="44" xr:uid="{00000000-0005-0000-0000-00002C000000}"/>
    <cellStyle name="Style 45" xfId="45" xr:uid="{00000000-0005-0000-0000-00002D000000}"/>
    <cellStyle name="Style 5" xfId="5" xr:uid="{00000000-0005-0000-0000-000005000000}"/>
    <cellStyle name="Style 6" xfId="6" xr:uid="{00000000-0005-0000-0000-000006000000}"/>
    <cellStyle name="Style 7" xfId="7" xr:uid="{00000000-0005-0000-0000-000007000000}"/>
    <cellStyle name="Style 8" xfId="8" xr:uid="{00000000-0005-0000-0000-000008000000}"/>
    <cellStyle name="Style 9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5"/>
  <sheetViews>
    <sheetView tabSelected="1" zoomScaleNormal="100" workbookViewId="0">
      <selection activeCell="M22" sqref="M22"/>
    </sheetView>
  </sheetViews>
  <sheetFormatPr baseColWidth="10" defaultRowHeight="16" x14ac:dyDescent="0.15"/>
  <cols>
    <col min="1" max="1" width="16" customWidth="1"/>
    <col min="2" max="2" width="6" customWidth="1"/>
    <col min="3" max="3" width="65" customWidth="1"/>
    <col min="4" max="4" width="20" customWidth="1"/>
    <col min="5" max="6" width="21" customWidth="1"/>
    <col min="7" max="7" width="20" customWidth="1"/>
    <col min="8" max="8" width="16.796875" bestFit="1" customWidth="1"/>
    <col min="9" max="9" width="12.59765625" bestFit="1" customWidth="1"/>
    <col min="10" max="10" width="12.796875" bestFit="1" customWidth="1"/>
    <col min="11" max="11" width="15.59765625" bestFit="1" customWidth="1"/>
  </cols>
  <sheetData>
    <row r="1" spans="1:15" ht="12" x14ac:dyDescent="0.15">
      <c r="A1" s="3" t="s">
        <v>13</v>
      </c>
      <c r="B1" s="4"/>
      <c r="C1" s="4"/>
      <c r="D1" s="4"/>
      <c r="E1" s="4"/>
      <c r="F1" s="5" t="s">
        <v>4</v>
      </c>
      <c r="G1" s="6" t="s">
        <v>6</v>
      </c>
    </row>
    <row r="2" spans="1:15" ht="12" x14ac:dyDescent="0.15">
      <c r="A2" s="5" t="s">
        <v>0</v>
      </c>
      <c r="B2" s="5" t="s">
        <v>1</v>
      </c>
      <c r="C2" s="4"/>
      <c r="D2" s="5" t="s">
        <v>10</v>
      </c>
      <c r="E2" s="7" t="s">
        <v>9</v>
      </c>
      <c r="F2" s="5" t="s">
        <v>3</v>
      </c>
      <c r="G2" s="8">
        <v>46134.251888180399</v>
      </c>
    </row>
    <row r="3" spans="1:15" ht="12" x14ac:dyDescent="0.15">
      <c r="A3" s="5" t="s">
        <v>5</v>
      </c>
      <c r="B3" s="5" t="s">
        <v>7</v>
      </c>
      <c r="C3" s="4"/>
      <c r="D3" s="5" t="s">
        <v>2</v>
      </c>
      <c r="E3" s="5" t="s">
        <v>8</v>
      </c>
      <c r="F3" s="5" t="s">
        <v>12</v>
      </c>
      <c r="G3" s="9" t="s">
        <v>11</v>
      </c>
    </row>
    <row r="4" spans="1:15" ht="12" x14ac:dyDescent="0.15">
      <c r="A4" s="4"/>
      <c r="B4" s="4"/>
      <c r="C4" s="4"/>
      <c r="D4" s="10" t="s">
        <v>14</v>
      </c>
      <c r="E4" s="4"/>
      <c r="F4" s="4"/>
      <c r="G4" s="4"/>
    </row>
    <row r="5" spans="1:15" ht="12" x14ac:dyDescent="0.15">
      <c r="A5" s="4"/>
      <c r="B5" s="4"/>
      <c r="C5" s="4"/>
      <c r="D5" s="4"/>
      <c r="E5" s="4"/>
      <c r="F5" s="4"/>
      <c r="G5" s="4"/>
    </row>
    <row r="6" spans="1:15" ht="12" x14ac:dyDescent="0.15">
      <c r="A6" s="1" t="s">
        <v>20</v>
      </c>
      <c r="B6" s="1" t="s">
        <v>21</v>
      </c>
      <c r="C6" s="1" t="s">
        <v>19</v>
      </c>
      <c r="D6" s="2" t="s">
        <v>18</v>
      </c>
      <c r="E6" s="2" t="s">
        <v>17</v>
      </c>
      <c r="F6" s="2" t="s">
        <v>16</v>
      </c>
      <c r="G6" s="2" t="s">
        <v>15</v>
      </c>
      <c r="H6" s="14" t="s">
        <v>162</v>
      </c>
      <c r="I6" s="14" t="s">
        <v>163</v>
      </c>
      <c r="J6" s="14" t="s">
        <v>164</v>
      </c>
      <c r="K6" s="14" t="s">
        <v>165</v>
      </c>
    </row>
    <row r="7" spans="1:15" ht="12" x14ac:dyDescent="0.15">
      <c r="A7" s="5" t="s">
        <v>22</v>
      </c>
      <c r="B7" s="5" t="s">
        <v>24</v>
      </c>
      <c r="C7" s="5" t="s">
        <v>23</v>
      </c>
      <c r="D7" s="11">
        <v>1879.34</v>
      </c>
      <c r="E7" s="11">
        <v>0</v>
      </c>
      <c r="F7" s="11">
        <v>0</v>
      </c>
      <c r="G7" s="11">
        <v>1879.34</v>
      </c>
      <c r="H7" s="16">
        <v>1879.34</v>
      </c>
      <c r="I7" s="16">
        <v>0</v>
      </c>
      <c r="J7" s="16">
        <v>0</v>
      </c>
      <c r="K7" s="16">
        <f>H7+I7-J7</f>
        <v>1879.34</v>
      </c>
      <c r="N7" s="19"/>
      <c r="O7" s="15"/>
    </row>
    <row r="8" spans="1:15" ht="12" x14ac:dyDescent="0.15">
      <c r="A8" s="5" t="s">
        <v>25</v>
      </c>
      <c r="B8" s="5" t="s">
        <v>24</v>
      </c>
      <c r="C8" s="5" t="s">
        <v>26</v>
      </c>
      <c r="D8" s="11">
        <v>-12257.76</v>
      </c>
      <c r="E8" s="11">
        <v>0</v>
      </c>
      <c r="F8" s="11">
        <v>0</v>
      </c>
      <c r="G8" s="11">
        <v>-12257.76</v>
      </c>
      <c r="H8" s="16">
        <v>-12257.76</v>
      </c>
      <c r="I8" s="16">
        <v>0</v>
      </c>
      <c r="J8" s="16">
        <v>0</v>
      </c>
      <c r="K8" s="16">
        <f t="shared" ref="K8:K71" si="0">H8+I8-J8</f>
        <v>-12257.76</v>
      </c>
      <c r="N8" s="19"/>
      <c r="O8" s="15"/>
    </row>
    <row r="9" spans="1:15" ht="12" x14ac:dyDescent="0.15">
      <c r="A9" s="5" t="s">
        <v>27</v>
      </c>
      <c r="B9" s="5" t="s">
        <v>24</v>
      </c>
      <c r="C9" s="5" t="s">
        <v>28</v>
      </c>
      <c r="D9" s="11">
        <v>64462.92</v>
      </c>
      <c r="E9" s="11">
        <v>0</v>
      </c>
      <c r="F9" s="11">
        <v>0</v>
      </c>
      <c r="G9" s="11">
        <v>64462.92</v>
      </c>
      <c r="H9" s="16">
        <v>64462.92</v>
      </c>
      <c r="I9" s="16">
        <v>0</v>
      </c>
      <c r="J9" s="16">
        <v>0</v>
      </c>
      <c r="K9" s="16">
        <f t="shared" si="0"/>
        <v>64462.92</v>
      </c>
    </row>
    <row r="10" spans="1:15" ht="12" x14ac:dyDescent="0.15">
      <c r="A10" s="5" t="s">
        <v>29</v>
      </c>
      <c r="B10" s="5" t="s">
        <v>24</v>
      </c>
      <c r="C10" s="5" t="s">
        <v>30</v>
      </c>
      <c r="D10" s="11">
        <v>-24315.19</v>
      </c>
      <c r="E10" s="11">
        <v>0</v>
      </c>
      <c r="F10" s="11">
        <v>0</v>
      </c>
      <c r="G10" s="11">
        <v>-24315.19</v>
      </c>
      <c r="H10" s="16">
        <v>-24315.19</v>
      </c>
      <c r="I10" s="16">
        <v>0</v>
      </c>
      <c r="J10" s="16">
        <v>0</v>
      </c>
      <c r="K10" s="16">
        <f t="shared" si="0"/>
        <v>-24315.19</v>
      </c>
    </row>
    <row r="11" spans="1:15" ht="12" x14ac:dyDescent="0.15">
      <c r="A11" s="5" t="s">
        <v>31</v>
      </c>
      <c r="B11" s="5" t="s">
        <v>24</v>
      </c>
      <c r="C11" s="5" t="s">
        <v>32</v>
      </c>
      <c r="D11" s="11">
        <v>-1918.03</v>
      </c>
      <c r="E11" s="11">
        <v>0</v>
      </c>
      <c r="F11" s="11">
        <v>268.83999999999997</v>
      </c>
      <c r="G11" s="11">
        <v>-2186.87</v>
      </c>
      <c r="H11" s="16">
        <v>-1918.03</v>
      </c>
      <c r="I11" s="16">
        <v>0</v>
      </c>
      <c r="J11" s="16">
        <v>268.83999999999997</v>
      </c>
      <c r="K11" s="16">
        <f t="shared" si="0"/>
        <v>-2186.87</v>
      </c>
    </row>
    <row r="12" spans="1:15" ht="12" x14ac:dyDescent="0.15">
      <c r="A12" s="5" t="s">
        <v>33</v>
      </c>
      <c r="B12" s="5" t="s">
        <v>24</v>
      </c>
      <c r="C12" s="5" t="s">
        <v>34</v>
      </c>
      <c r="D12" s="11">
        <v>18198.79</v>
      </c>
      <c r="E12" s="11">
        <v>200604.44</v>
      </c>
      <c r="F12" s="11">
        <v>205044.28</v>
      </c>
      <c r="G12" s="11">
        <v>13758.95</v>
      </c>
      <c r="H12" s="16">
        <v>18198.79</v>
      </c>
      <c r="I12" s="16">
        <v>200604.44</v>
      </c>
      <c r="J12" s="16">
        <v>205044.28</v>
      </c>
      <c r="K12" s="16">
        <f t="shared" si="0"/>
        <v>13758.950000000012</v>
      </c>
    </row>
    <row r="13" spans="1:15" ht="12" x14ac:dyDescent="0.15">
      <c r="A13" s="5" t="s">
        <v>35</v>
      </c>
      <c r="B13" s="5" t="s">
        <v>24</v>
      </c>
      <c r="C13" s="5" t="s">
        <v>36</v>
      </c>
      <c r="D13" s="11">
        <v>393147.42</v>
      </c>
      <c r="E13" s="11">
        <v>210929.66</v>
      </c>
      <c r="F13" s="11">
        <v>114309.13</v>
      </c>
      <c r="G13" s="11">
        <v>489767.95</v>
      </c>
      <c r="H13" s="17">
        <v>393147.42</v>
      </c>
      <c r="I13" s="16">
        <v>210929.66</v>
      </c>
      <c r="J13" s="17">
        <f>114309.13</f>
        <v>114309.13</v>
      </c>
      <c r="K13" s="16">
        <v>0</v>
      </c>
      <c r="L13" s="16"/>
      <c r="M13" s="16"/>
    </row>
    <row r="14" spans="1:15" ht="12" x14ac:dyDescent="0.15">
      <c r="A14" s="5" t="s">
        <v>37</v>
      </c>
      <c r="B14" s="5" t="s">
        <v>24</v>
      </c>
      <c r="C14" s="5" t="s">
        <v>38</v>
      </c>
      <c r="D14" s="11">
        <v>454.2</v>
      </c>
      <c r="E14" s="11">
        <v>4629.33</v>
      </c>
      <c r="F14" s="11">
        <v>4995.82</v>
      </c>
      <c r="G14" s="11">
        <v>87.71</v>
      </c>
      <c r="H14" s="16">
        <v>454.2</v>
      </c>
      <c r="I14" s="16">
        <v>4629.33</v>
      </c>
      <c r="J14" s="16">
        <v>4995.82</v>
      </c>
      <c r="K14" s="16">
        <f t="shared" si="0"/>
        <v>87.710000000000036</v>
      </c>
    </row>
    <row r="15" spans="1:15" ht="12" x14ac:dyDescent="0.15">
      <c r="A15" s="5" t="s">
        <v>39</v>
      </c>
      <c r="B15" s="5" t="s">
        <v>24</v>
      </c>
      <c r="C15" s="5" t="s">
        <v>40</v>
      </c>
      <c r="D15" s="11">
        <v>202968.92</v>
      </c>
      <c r="E15" s="11">
        <v>349184.73</v>
      </c>
      <c r="F15" s="11">
        <v>269457.75</v>
      </c>
      <c r="G15" s="11">
        <v>282695.90000000002</v>
      </c>
      <c r="H15" s="16">
        <v>202968.92</v>
      </c>
      <c r="I15" s="16">
        <v>349184.73</v>
      </c>
      <c r="J15" s="17">
        <v>269457.75</v>
      </c>
      <c r="K15" s="16">
        <f t="shared" si="0"/>
        <v>282695.90000000002</v>
      </c>
      <c r="L15" s="16"/>
      <c r="M15" s="16"/>
    </row>
    <row r="16" spans="1:15" ht="12" x14ac:dyDescent="0.15">
      <c r="A16" s="5" t="s">
        <v>41</v>
      </c>
      <c r="B16" s="5" t="s">
        <v>24</v>
      </c>
      <c r="C16" s="5" t="s">
        <v>42</v>
      </c>
      <c r="D16" s="11">
        <v>0.27</v>
      </c>
      <c r="E16" s="11">
        <v>0</v>
      </c>
      <c r="F16" s="11">
        <v>0</v>
      </c>
      <c r="G16" s="11">
        <v>0.27</v>
      </c>
      <c r="H16" s="16">
        <v>0.27</v>
      </c>
      <c r="I16" s="16">
        <v>0</v>
      </c>
      <c r="J16" s="16">
        <v>0</v>
      </c>
      <c r="K16" s="16">
        <f t="shared" si="0"/>
        <v>0.27</v>
      </c>
    </row>
    <row r="17" spans="1:13" ht="12" x14ac:dyDescent="0.15">
      <c r="A17" s="5" t="s">
        <v>43</v>
      </c>
      <c r="B17" s="5" t="s">
        <v>24</v>
      </c>
      <c r="C17" s="5" t="s">
        <v>44</v>
      </c>
      <c r="D17" s="11">
        <v>8.24</v>
      </c>
      <c r="E17" s="11">
        <v>0</v>
      </c>
      <c r="F17" s="11">
        <v>0</v>
      </c>
      <c r="G17" s="11">
        <v>8.24</v>
      </c>
      <c r="H17" s="16">
        <v>8.24</v>
      </c>
      <c r="I17" s="16">
        <v>0</v>
      </c>
      <c r="J17" s="16">
        <v>0</v>
      </c>
      <c r="K17" s="16">
        <f t="shared" si="0"/>
        <v>8.24</v>
      </c>
    </row>
    <row r="18" spans="1:13" ht="12" x14ac:dyDescent="0.15">
      <c r="A18" s="5" t="s">
        <v>45</v>
      </c>
      <c r="B18" s="5" t="s">
        <v>24</v>
      </c>
      <c r="C18" s="5" t="s">
        <v>46</v>
      </c>
      <c r="D18" s="11">
        <v>-8.24</v>
      </c>
      <c r="E18" s="11">
        <v>0</v>
      </c>
      <c r="F18" s="11">
        <v>0</v>
      </c>
      <c r="G18" s="11">
        <v>-8.24</v>
      </c>
      <c r="H18" s="16">
        <v>-8.24</v>
      </c>
      <c r="I18" s="16">
        <v>0</v>
      </c>
      <c r="J18" s="16">
        <v>0</v>
      </c>
      <c r="K18" s="16">
        <f t="shared" si="0"/>
        <v>-8.24</v>
      </c>
    </row>
    <row r="19" spans="1:13" ht="12" x14ac:dyDescent="0.15">
      <c r="A19" s="5" t="s">
        <v>47</v>
      </c>
      <c r="B19" s="5" t="s">
        <v>49</v>
      </c>
      <c r="C19" s="5" t="s">
        <v>48</v>
      </c>
      <c r="D19" s="11">
        <v>-100</v>
      </c>
      <c r="E19" s="11">
        <v>0</v>
      </c>
      <c r="F19" s="11">
        <v>0</v>
      </c>
      <c r="G19" s="11">
        <v>-100</v>
      </c>
      <c r="H19" s="16">
        <v>-100</v>
      </c>
      <c r="I19" s="16">
        <v>0</v>
      </c>
      <c r="J19" s="16">
        <v>0</v>
      </c>
      <c r="K19" s="16">
        <f t="shared" si="0"/>
        <v>-100</v>
      </c>
    </row>
    <row r="20" spans="1:13" ht="12" x14ac:dyDescent="0.15">
      <c r="A20" s="5" t="s">
        <v>50</v>
      </c>
      <c r="B20" s="5" t="s">
        <v>49</v>
      </c>
      <c r="C20" s="5" t="s">
        <v>51</v>
      </c>
      <c r="D20" s="11">
        <v>175043.7</v>
      </c>
      <c r="E20" s="11">
        <v>0</v>
      </c>
      <c r="F20" s="11">
        <v>0</v>
      </c>
      <c r="G20" s="11">
        <v>175043.7</v>
      </c>
      <c r="H20" s="16">
        <v>175043.7</v>
      </c>
      <c r="I20" s="16">
        <v>0</v>
      </c>
      <c r="J20" s="16">
        <v>0</v>
      </c>
      <c r="K20" s="16">
        <f t="shared" si="0"/>
        <v>175043.7</v>
      </c>
    </row>
    <row r="21" spans="1:13" ht="12" x14ac:dyDescent="0.15">
      <c r="A21" s="5" t="s">
        <v>52</v>
      </c>
      <c r="B21" s="5" t="s">
        <v>49</v>
      </c>
      <c r="C21" s="5" t="s">
        <v>53</v>
      </c>
      <c r="D21" s="11">
        <v>78132.97</v>
      </c>
      <c r="E21" s="11">
        <v>0</v>
      </c>
      <c r="F21" s="11">
        <v>0</v>
      </c>
      <c r="G21" s="11">
        <v>78132.97</v>
      </c>
      <c r="H21" s="16">
        <v>78132.97</v>
      </c>
      <c r="I21" s="16">
        <v>0</v>
      </c>
      <c r="J21" s="16">
        <v>0</v>
      </c>
      <c r="K21" s="16">
        <f t="shared" si="0"/>
        <v>78132.97</v>
      </c>
    </row>
    <row r="22" spans="1:13" ht="12" x14ac:dyDescent="0.15">
      <c r="A22" s="5" t="s">
        <v>54</v>
      </c>
      <c r="B22" s="5" t="s">
        <v>49</v>
      </c>
      <c r="C22" s="5" t="s">
        <v>55</v>
      </c>
      <c r="D22" s="11">
        <v>-16000</v>
      </c>
      <c r="E22" s="11">
        <v>0</v>
      </c>
      <c r="F22" s="11">
        <v>0</v>
      </c>
      <c r="G22" s="11">
        <v>-16000</v>
      </c>
      <c r="H22" s="16">
        <v>-16000</v>
      </c>
      <c r="I22" s="16">
        <v>0</v>
      </c>
      <c r="J22" s="16">
        <v>0</v>
      </c>
      <c r="K22" s="16">
        <f t="shared" si="0"/>
        <v>-16000</v>
      </c>
    </row>
    <row r="23" spans="1:13" ht="12" x14ac:dyDescent="0.15">
      <c r="A23" s="5" t="s">
        <v>56</v>
      </c>
      <c r="B23" s="5" t="s">
        <v>49</v>
      </c>
      <c r="C23" s="5" t="s">
        <v>57</v>
      </c>
      <c r="D23" s="11">
        <v>-55056.9</v>
      </c>
      <c r="E23" s="11">
        <v>0</v>
      </c>
      <c r="F23" s="11">
        <v>0</v>
      </c>
      <c r="G23" s="11">
        <v>-55056.9</v>
      </c>
      <c r="H23" s="16">
        <v>-55056.9</v>
      </c>
      <c r="I23" s="16">
        <v>0</v>
      </c>
      <c r="J23" s="16">
        <v>0</v>
      </c>
      <c r="K23" s="16">
        <f t="shared" si="0"/>
        <v>-55056.9</v>
      </c>
    </row>
    <row r="24" spans="1:13" ht="12" x14ac:dyDescent="0.15">
      <c r="A24" s="5" t="s">
        <v>58</v>
      </c>
      <c r="B24" s="5" t="s">
        <v>49</v>
      </c>
      <c r="C24" s="5" t="s">
        <v>59</v>
      </c>
      <c r="D24" s="11">
        <v>-1845.03</v>
      </c>
      <c r="E24" s="11">
        <v>672.92</v>
      </c>
      <c r="F24" s="11">
        <v>0</v>
      </c>
      <c r="G24" s="11">
        <v>-1172.1099999999999</v>
      </c>
      <c r="H24" s="18">
        <v>-1845.03</v>
      </c>
      <c r="I24" s="18">
        <v>672.92</v>
      </c>
      <c r="J24" s="18">
        <v>0</v>
      </c>
      <c r="K24" s="16">
        <f t="shared" si="0"/>
        <v>-1172.1100000000001</v>
      </c>
    </row>
    <row r="25" spans="1:13" ht="12" x14ac:dyDescent="0.15">
      <c r="A25" s="5" t="s">
        <v>60</v>
      </c>
      <c r="B25" s="5" t="s">
        <v>49</v>
      </c>
      <c r="C25" s="5" t="s">
        <v>61</v>
      </c>
      <c r="D25" s="11">
        <v>6106.17</v>
      </c>
      <c r="E25" s="11">
        <v>0</v>
      </c>
      <c r="F25" s="11">
        <v>0</v>
      </c>
      <c r="G25" s="11">
        <v>6106.17</v>
      </c>
      <c r="H25" s="16">
        <v>6106.17</v>
      </c>
      <c r="I25" s="16">
        <v>0</v>
      </c>
      <c r="J25" s="16">
        <v>0</v>
      </c>
      <c r="K25" s="16">
        <f t="shared" si="0"/>
        <v>6106.17</v>
      </c>
    </row>
    <row r="26" spans="1:13" ht="12" x14ac:dyDescent="0.15">
      <c r="A26" s="5" t="s">
        <v>62</v>
      </c>
      <c r="B26" s="5" t="s">
        <v>49</v>
      </c>
      <c r="C26" s="5" t="s">
        <v>63</v>
      </c>
      <c r="D26" s="11">
        <v>-424153.49</v>
      </c>
      <c r="E26" s="11">
        <v>147.22999999999999</v>
      </c>
      <c r="F26" s="11">
        <v>199382.51</v>
      </c>
      <c r="G26" s="11">
        <v>-623388.77</v>
      </c>
      <c r="H26" s="17">
        <v>-424153.49</v>
      </c>
      <c r="I26" s="17">
        <v>147.22999999999999</v>
      </c>
      <c r="J26" s="17">
        <v>199382.51</v>
      </c>
      <c r="K26" s="16">
        <v>-133620.82000000007</v>
      </c>
      <c r="M26" s="16"/>
    </row>
    <row r="27" spans="1:13" ht="12" x14ac:dyDescent="0.15">
      <c r="A27" s="5" t="s">
        <v>64</v>
      </c>
      <c r="B27" s="5" t="s">
        <v>49</v>
      </c>
      <c r="C27" s="5" t="s">
        <v>65</v>
      </c>
      <c r="D27" s="11">
        <v>6426.71</v>
      </c>
      <c r="E27" s="11">
        <v>0</v>
      </c>
      <c r="F27" s="11">
        <v>350.88</v>
      </c>
      <c r="G27" s="11">
        <v>6075.83</v>
      </c>
      <c r="H27" s="16">
        <v>6426.71</v>
      </c>
      <c r="I27" s="16">
        <v>0</v>
      </c>
      <c r="J27" s="16">
        <v>350.88</v>
      </c>
      <c r="K27" s="16">
        <f t="shared" si="0"/>
        <v>6075.83</v>
      </c>
    </row>
    <row r="28" spans="1:13" ht="12" x14ac:dyDescent="0.15">
      <c r="A28" s="5" t="s">
        <v>66</v>
      </c>
      <c r="B28" s="5" t="s">
        <v>49</v>
      </c>
      <c r="C28" s="5" t="s">
        <v>67</v>
      </c>
      <c r="D28" s="11">
        <v>-4325.55</v>
      </c>
      <c r="E28" s="11">
        <v>0</v>
      </c>
      <c r="F28" s="11">
        <v>0</v>
      </c>
      <c r="G28" s="11">
        <v>-4325.55</v>
      </c>
      <c r="H28" s="16">
        <v>-4325.55</v>
      </c>
      <c r="I28" s="16">
        <v>0</v>
      </c>
      <c r="J28" s="16">
        <v>0</v>
      </c>
      <c r="K28" s="16">
        <f t="shared" si="0"/>
        <v>-4325.55</v>
      </c>
    </row>
    <row r="29" spans="1:13" ht="12" x14ac:dyDescent="0.15">
      <c r="A29" s="5" t="s">
        <v>68</v>
      </c>
      <c r="B29" s="5" t="s">
        <v>49</v>
      </c>
      <c r="C29" s="5" t="s">
        <v>69</v>
      </c>
      <c r="D29" s="11">
        <v>6998.11</v>
      </c>
      <c r="E29" s="11">
        <v>2000</v>
      </c>
      <c r="F29" s="11">
        <v>150</v>
      </c>
      <c r="G29" s="11">
        <v>8848.11</v>
      </c>
      <c r="H29" s="16">
        <v>6998.11</v>
      </c>
      <c r="I29" s="16">
        <v>2000</v>
      </c>
      <c r="J29" s="16">
        <v>150</v>
      </c>
      <c r="K29" s="16">
        <f t="shared" si="0"/>
        <v>8848.11</v>
      </c>
    </row>
    <row r="30" spans="1:13" ht="12" x14ac:dyDescent="0.15">
      <c r="A30" s="5" t="s">
        <v>70</v>
      </c>
      <c r="B30" s="5" t="s">
        <v>49</v>
      </c>
      <c r="C30" s="5" t="s">
        <v>71</v>
      </c>
      <c r="D30" s="11">
        <v>91117.91</v>
      </c>
      <c r="E30" s="11">
        <v>48450</v>
      </c>
      <c r="F30" s="11">
        <v>0</v>
      </c>
      <c r="G30" s="11">
        <v>139567.91</v>
      </c>
      <c r="H30" s="16">
        <v>91117.91</v>
      </c>
      <c r="I30" s="16">
        <v>48450</v>
      </c>
      <c r="J30" s="16">
        <v>0</v>
      </c>
      <c r="K30" s="16">
        <f t="shared" si="0"/>
        <v>139567.91</v>
      </c>
    </row>
    <row r="31" spans="1:13" ht="12" x14ac:dyDescent="0.15">
      <c r="A31" s="5" t="s">
        <v>72</v>
      </c>
      <c r="B31" s="5" t="s">
        <v>49</v>
      </c>
      <c r="C31" s="5" t="s">
        <v>73</v>
      </c>
      <c r="D31" s="11">
        <v>118421</v>
      </c>
      <c r="E31" s="11">
        <v>109710</v>
      </c>
      <c r="F31" s="11">
        <v>0</v>
      </c>
      <c r="G31" s="11">
        <v>228131</v>
      </c>
      <c r="H31" s="16">
        <v>118421</v>
      </c>
      <c r="I31" s="16">
        <v>109710</v>
      </c>
      <c r="J31" s="16">
        <v>0</v>
      </c>
      <c r="K31" s="16">
        <f t="shared" si="0"/>
        <v>228131</v>
      </c>
    </row>
    <row r="32" spans="1:13" ht="12" x14ac:dyDescent="0.15">
      <c r="A32" s="5" t="s">
        <v>74</v>
      </c>
      <c r="B32" s="5" t="s">
        <v>49</v>
      </c>
      <c r="C32" s="5" t="s">
        <v>75</v>
      </c>
      <c r="D32" s="11">
        <v>633.75</v>
      </c>
      <c r="E32" s="11">
        <v>0</v>
      </c>
      <c r="F32" s="11">
        <v>0</v>
      </c>
      <c r="G32" s="11">
        <v>633.75</v>
      </c>
      <c r="H32" s="16">
        <v>633.75</v>
      </c>
      <c r="I32" s="16">
        <v>0</v>
      </c>
      <c r="J32" s="16">
        <v>0</v>
      </c>
      <c r="K32" s="16">
        <f t="shared" si="0"/>
        <v>633.75</v>
      </c>
    </row>
    <row r="33" spans="1:12" ht="12" x14ac:dyDescent="0.15">
      <c r="A33" s="5" t="s">
        <v>76</v>
      </c>
      <c r="B33" s="5" t="s">
        <v>49</v>
      </c>
      <c r="C33" s="5" t="s">
        <v>77</v>
      </c>
      <c r="D33" s="11">
        <v>-11223.9</v>
      </c>
      <c r="E33" s="11">
        <v>0</v>
      </c>
      <c r="F33" s="11">
        <v>0</v>
      </c>
      <c r="G33" s="11">
        <v>-11223.9</v>
      </c>
      <c r="H33" s="16">
        <v>-11223.9</v>
      </c>
      <c r="I33" s="16">
        <v>0</v>
      </c>
      <c r="J33" s="16">
        <v>0</v>
      </c>
      <c r="K33" s="16">
        <f t="shared" si="0"/>
        <v>-11223.9</v>
      </c>
    </row>
    <row r="34" spans="1:12" ht="12" x14ac:dyDescent="0.15">
      <c r="A34" s="5" t="s">
        <v>78</v>
      </c>
      <c r="B34" s="5" t="s">
        <v>49</v>
      </c>
      <c r="C34" s="5" t="s">
        <v>79</v>
      </c>
      <c r="D34" s="11">
        <v>-512981.45</v>
      </c>
      <c r="E34" s="11">
        <v>24232.62</v>
      </c>
      <c r="F34" s="11">
        <v>122438.08</v>
      </c>
      <c r="G34" s="11">
        <v>-611186.91</v>
      </c>
      <c r="H34" s="16">
        <v>-512981.45</v>
      </c>
      <c r="I34" s="16">
        <v>24232.62</v>
      </c>
      <c r="J34" s="16">
        <v>122438.08</v>
      </c>
      <c r="K34" s="16">
        <f t="shared" si="0"/>
        <v>-611186.91</v>
      </c>
      <c r="L34" s="16"/>
    </row>
    <row r="35" spans="1:12" ht="12" x14ac:dyDescent="0.15">
      <c r="A35" s="5" t="s">
        <v>80</v>
      </c>
      <c r="B35" s="5" t="s">
        <v>49</v>
      </c>
      <c r="C35" s="5" t="s">
        <v>81</v>
      </c>
      <c r="D35" s="11">
        <v>-120111.25</v>
      </c>
      <c r="E35" s="11">
        <v>27468.93</v>
      </c>
      <c r="F35" s="11">
        <v>22500</v>
      </c>
      <c r="G35" s="11">
        <v>-115142.32</v>
      </c>
      <c r="H35" s="16">
        <v>-120111.25</v>
      </c>
      <c r="I35" s="16">
        <v>27468.93</v>
      </c>
      <c r="J35" s="16">
        <v>22500</v>
      </c>
      <c r="K35" s="16">
        <f t="shared" si="0"/>
        <v>-115142.32</v>
      </c>
    </row>
    <row r="36" spans="1:12" ht="12" x14ac:dyDescent="0.15">
      <c r="A36" s="5" t="s">
        <v>82</v>
      </c>
      <c r="B36" s="5" t="s">
        <v>49</v>
      </c>
      <c r="C36" s="5" t="s">
        <v>83</v>
      </c>
      <c r="D36" s="11">
        <v>-7609.06</v>
      </c>
      <c r="E36" s="11">
        <v>1451.52</v>
      </c>
      <c r="F36" s="11">
        <v>293.83999999999997</v>
      </c>
      <c r="G36" s="11">
        <v>-6451.38</v>
      </c>
      <c r="H36" s="16">
        <v>-7609.06</v>
      </c>
      <c r="I36" s="16">
        <v>1451.52</v>
      </c>
      <c r="J36" s="16">
        <v>293.83999999999997</v>
      </c>
      <c r="K36" s="16">
        <f t="shared" si="0"/>
        <v>-6451.380000000001</v>
      </c>
    </row>
    <row r="37" spans="1:12" ht="12" x14ac:dyDescent="0.15">
      <c r="A37" s="5" t="s">
        <v>84</v>
      </c>
      <c r="B37" s="5" t="s">
        <v>49</v>
      </c>
      <c r="C37" s="5" t="s">
        <v>85</v>
      </c>
      <c r="D37" s="11">
        <v>390</v>
      </c>
      <c r="E37" s="11">
        <v>0</v>
      </c>
      <c r="F37" s="11">
        <v>0</v>
      </c>
      <c r="G37" s="11">
        <v>390</v>
      </c>
      <c r="H37" s="16">
        <v>390</v>
      </c>
      <c r="I37" s="16">
        <v>0</v>
      </c>
      <c r="J37" s="16">
        <v>0</v>
      </c>
      <c r="K37" s="16">
        <f t="shared" si="0"/>
        <v>390</v>
      </c>
    </row>
    <row r="38" spans="1:12" ht="12" x14ac:dyDescent="0.15">
      <c r="A38" s="5" t="s">
        <v>86</v>
      </c>
      <c r="B38" s="5" t="s">
        <v>49</v>
      </c>
      <c r="C38" s="5" t="s">
        <v>87</v>
      </c>
      <c r="D38" s="11">
        <v>3371</v>
      </c>
      <c r="E38" s="11">
        <v>0</v>
      </c>
      <c r="F38" s="11">
        <v>0</v>
      </c>
      <c r="G38" s="11">
        <v>3371</v>
      </c>
      <c r="H38" s="16">
        <v>3371</v>
      </c>
      <c r="I38" s="16">
        <v>0</v>
      </c>
      <c r="J38" s="16">
        <v>0</v>
      </c>
      <c r="K38" s="16">
        <f t="shared" si="0"/>
        <v>3371</v>
      </c>
    </row>
    <row r="39" spans="1:12" ht="12" x14ac:dyDescent="0.15">
      <c r="A39" s="5" t="s">
        <v>88</v>
      </c>
      <c r="B39" s="5" t="s">
        <v>49</v>
      </c>
      <c r="C39" s="5" t="s">
        <v>89</v>
      </c>
      <c r="D39" s="11">
        <v>16279.01</v>
      </c>
      <c r="E39" s="11">
        <v>0</v>
      </c>
      <c r="F39" s="11">
        <v>0</v>
      </c>
      <c r="G39" s="11">
        <v>16279.01</v>
      </c>
      <c r="H39" s="16">
        <v>16279.01</v>
      </c>
      <c r="I39" s="16">
        <v>0</v>
      </c>
      <c r="J39" s="16">
        <v>0</v>
      </c>
      <c r="K39" s="16">
        <f t="shared" si="0"/>
        <v>16279.01</v>
      </c>
    </row>
    <row r="40" spans="1:12" ht="12" x14ac:dyDescent="0.15">
      <c r="A40" s="5" t="s">
        <v>90</v>
      </c>
      <c r="B40" s="5" t="s">
        <v>49</v>
      </c>
      <c r="C40" s="5" t="s">
        <v>91</v>
      </c>
      <c r="D40" s="11">
        <v>0</v>
      </c>
      <c r="E40" s="11">
        <v>54.39</v>
      </c>
      <c r="F40" s="11">
        <v>87.78</v>
      </c>
      <c r="G40" s="11">
        <v>-33.39</v>
      </c>
      <c r="H40" s="16">
        <v>0</v>
      </c>
      <c r="I40" s="16">
        <v>54.39</v>
      </c>
      <c r="J40" s="16">
        <v>87.78</v>
      </c>
      <c r="K40" s="16">
        <f t="shared" si="0"/>
        <v>-33.39</v>
      </c>
    </row>
    <row r="41" spans="1:12" ht="12" x14ac:dyDescent="0.15">
      <c r="A41" s="5" t="s">
        <v>92</v>
      </c>
      <c r="B41" s="5" t="s">
        <v>49</v>
      </c>
      <c r="C41" s="5" t="s">
        <v>93</v>
      </c>
      <c r="D41" s="11">
        <v>-76399.17</v>
      </c>
      <c r="E41" s="11">
        <v>5169.5200000000004</v>
      </c>
      <c r="F41" s="11">
        <v>29710.75</v>
      </c>
      <c r="G41" s="11">
        <v>-100940.4</v>
      </c>
      <c r="H41" s="16">
        <v>-76399.17</v>
      </c>
      <c r="I41" s="16">
        <v>5169.5200000000004</v>
      </c>
      <c r="J41" s="16">
        <v>29710.75</v>
      </c>
      <c r="K41" s="16">
        <f t="shared" si="0"/>
        <v>-100940.4</v>
      </c>
    </row>
    <row r="42" spans="1:12" ht="12" x14ac:dyDescent="0.15">
      <c r="A42" s="5" t="s">
        <v>94</v>
      </c>
      <c r="B42" s="5" t="s">
        <v>49</v>
      </c>
      <c r="C42" s="5" t="s">
        <v>95</v>
      </c>
      <c r="D42" s="11">
        <v>100732.36</v>
      </c>
      <c r="E42" s="11">
        <v>21148.5</v>
      </c>
      <c r="F42" s="11">
        <v>1371.93</v>
      </c>
      <c r="G42" s="11">
        <v>120508.93</v>
      </c>
      <c r="H42" s="16">
        <v>100732.36</v>
      </c>
      <c r="I42" s="16">
        <v>21148.5</v>
      </c>
      <c r="J42" s="16">
        <v>1371.93</v>
      </c>
      <c r="K42" s="16">
        <f t="shared" si="0"/>
        <v>120508.93000000001</v>
      </c>
    </row>
    <row r="43" spans="1:12" ht="12" x14ac:dyDescent="0.15">
      <c r="A43" s="5" t="s">
        <v>96</v>
      </c>
      <c r="B43" s="5" t="s">
        <v>49</v>
      </c>
      <c r="C43" s="5" t="s">
        <v>97</v>
      </c>
      <c r="D43" s="11">
        <v>-16469.5</v>
      </c>
      <c r="E43" s="11">
        <v>0</v>
      </c>
      <c r="F43" s="11">
        <v>0</v>
      </c>
      <c r="G43" s="11">
        <v>-16469.5</v>
      </c>
      <c r="H43" s="16">
        <v>-16469.5</v>
      </c>
      <c r="I43" s="16">
        <v>0</v>
      </c>
      <c r="J43" s="16">
        <v>0</v>
      </c>
      <c r="K43" s="16">
        <f t="shared" si="0"/>
        <v>-16469.5</v>
      </c>
    </row>
    <row r="44" spans="1:12" ht="12" x14ac:dyDescent="0.15">
      <c r="A44" s="5" t="s">
        <v>98</v>
      </c>
      <c r="B44" s="5" t="s">
        <v>49</v>
      </c>
      <c r="C44" s="5" t="s">
        <v>99</v>
      </c>
      <c r="D44" s="11">
        <v>1.73</v>
      </c>
      <c r="E44" s="11">
        <v>0</v>
      </c>
      <c r="F44" s="11">
        <v>0</v>
      </c>
      <c r="G44" s="11">
        <v>1.73</v>
      </c>
      <c r="H44" s="16">
        <v>1.73</v>
      </c>
      <c r="I44" s="16">
        <v>0</v>
      </c>
      <c r="J44" s="16">
        <v>0</v>
      </c>
      <c r="K44" s="16">
        <f t="shared" si="0"/>
        <v>1.73</v>
      </c>
    </row>
    <row r="45" spans="1:12" ht="12" x14ac:dyDescent="0.15">
      <c r="A45" s="5" t="s">
        <v>100</v>
      </c>
      <c r="B45" s="5" t="s">
        <v>102</v>
      </c>
      <c r="C45" s="5" t="s">
        <v>101</v>
      </c>
      <c r="D45" s="11">
        <v>0</v>
      </c>
      <c r="E45" s="11">
        <v>15681.93</v>
      </c>
      <c r="F45" s="11">
        <v>9430.57</v>
      </c>
      <c r="G45" s="11">
        <v>6251.36</v>
      </c>
      <c r="H45" s="16">
        <v>0</v>
      </c>
      <c r="I45" s="16">
        <v>15681.93</v>
      </c>
      <c r="J45" s="16">
        <v>9430.57</v>
      </c>
      <c r="K45" s="16">
        <f t="shared" si="0"/>
        <v>6251.3600000000006</v>
      </c>
    </row>
    <row r="46" spans="1:12" ht="12" x14ac:dyDescent="0.15">
      <c r="A46" s="5" t="s">
        <v>103</v>
      </c>
      <c r="B46" s="5" t="s">
        <v>102</v>
      </c>
      <c r="C46" s="5" t="s">
        <v>104</v>
      </c>
      <c r="D46" s="11">
        <v>0</v>
      </c>
      <c r="E46" s="11">
        <v>0</v>
      </c>
      <c r="F46" s="11">
        <v>3040.89</v>
      </c>
      <c r="G46" s="11">
        <v>-3040.89</v>
      </c>
      <c r="H46" s="16">
        <v>0</v>
      </c>
      <c r="I46" s="16">
        <v>0</v>
      </c>
      <c r="J46" s="16">
        <v>3040.89</v>
      </c>
      <c r="K46" s="16">
        <f t="shared" si="0"/>
        <v>-3040.89</v>
      </c>
    </row>
    <row r="47" spans="1:12" ht="12" x14ac:dyDescent="0.15">
      <c r="A47" s="5" t="s">
        <v>105</v>
      </c>
      <c r="B47" s="5" t="s">
        <v>102</v>
      </c>
      <c r="C47" s="5" t="s">
        <v>106</v>
      </c>
      <c r="D47" s="11">
        <v>0</v>
      </c>
      <c r="E47" s="11">
        <v>139</v>
      </c>
      <c r="F47" s="11">
        <v>10368.540000000001</v>
      </c>
      <c r="G47" s="11">
        <v>-10229.540000000001</v>
      </c>
      <c r="H47" s="16">
        <v>0</v>
      </c>
      <c r="I47" s="16">
        <v>139</v>
      </c>
      <c r="J47" s="16">
        <v>10368.540000000001</v>
      </c>
      <c r="K47" s="16">
        <f t="shared" si="0"/>
        <v>-10229.540000000001</v>
      </c>
    </row>
    <row r="48" spans="1:12" ht="12" x14ac:dyDescent="0.15">
      <c r="A48" s="5" t="s">
        <v>107</v>
      </c>
      <c r="B48" s="5" t="s">
        <v>102</v>
      </c>
      <c r="C48" s="5" t="s">
        <v>108</v>
      </c>
      <c r="D48" s="11">
        <v>0</v>
      </c>
      <c r="E48" s="11">
        <v>339.78</v>
      </c>
      <c r="F48" s="11">
        <v>1299</v>
      </c>
      <c r="G48" s="11">
        <v>-959.22</v>
      </c>
      <c r="H48" s="16">
        <v>0</v>
      </c>
      <c r="I48" s="16">
        <v>339.78</v>
      </c>
      <c r="J48" s="16">
        <v>1299</v>
      </c>
      <c r="K48" s="16">
        <f t="shared" si="0"/>
        <v>-959.22</v>
      </c>
    </row>
    <row r="49" spans="1:11" ht="12" x14ac:dyDescent="0.15">
      <c r="A49" s="5" t="s">
        <v>109</v>
      </c>
      <c r="B49" s="5" t="s">
        <v>102</v>
      </c>
      <c r="C49" s="5" t="s">
        <v>110</v>
      </c>
      <c r="D49" s="11">
        <v>0</v>
      </c>
      <c r="E49" s="11">
        <v>1767.25</v>
      </c>
      <c r="F49" s="11">
        <v>119588.48</v>
      </c>
      <c r="G49" s="11">
        <v>-117821.23</v>
      </c>
      <c r="H49" s="16">
        <v>0</v>
      </c>
      <c r="I49" s="16">
        <v>1767.25</v>
      </c>
      <c r="J49" s="16">
        <v>119588.48</v>
      </c>
      <c r="K49" s="16">
        <f t="shared" si="0"/>
        <v>-117821.23</v>
      </c>
    </row>
    <row r="50" spans="1:11" ht="12" x14ac:dyDescent="0.15">
      <c r="A50" s="5" t="s">
        <v>111</v>
      </c>
      <c r="B50" s="5" t="s">
        <v>102</v>
      </c>
      <c r="C50" s="5" t="s">
        <v>112</v>
      </c>
      <c r="D50" s="11">
        <v>0</v>
      </c>
      <c r="E50" s="11">
        <v>0</v>
      </c>
      <c r="F50" s="11">
        <v>1741.9</v>
      </c>
      <c r="G50" s="11">
        <v>-1741.9</v>
      </c>
      <c r="H50" s="16">
        <v>0</v>
      </c>
      <c r="I50" s="16">
        <v>0</v>
      </c>
      <c r="J50" s="16">
        <v>1741.9</v>
      </c>
      <c r="K50" s="16">
        <f t="shared" si="0"/>
        <v>-1741.9</v>
      </c>
    </row>
    <row r="51" spans="1:11" ht="12" x14ac:dyDescent="0.15">
      <c r="A51" s="5" t="s">
        <v>113</v>
      </c>
      <c r="B51" s="5" t="s">
        <v>102</v>
      </c>
      <c r="C51" s="5" t="s">
        <v>114</v>
      </c>
      <c r="D51" s="11">
        <v>0</v>
      </c>
      <c r="E51" s="11">
        <v>670.63</v>
      </c>
      <c r="F51" s="11">
        <v>2170.63</v>
      </c>
      <c r="G51" s="11">
        <v>-1500</v>
      </c>
      <c r="H51" s="16">
        <v>0</v>
      </c>
      <c r="I51" s="16">
        <v>670.63</v>
      </c>
      <c r="J51" s="16">
        <v>2170.63</v>
      </c>
      <c r="K51" s="16">
        <f t="shared" si="0"/>
        <v>-1500</v>
      </c>
    </row>
    <row r="52" spans="1:11" ht="12" x14ac:dyDescent="0.15">
      <c r="A52" s="5" t="s">
        <v>115</v>
      </c>
      <c r="B52" s="5" t="s">
        <v>102</v>
      </c>
      <c r="C52" s="5" t="s">
        <v>116</v>
      </c>
      <c r="D52" s="11">
        <v>0</v>
      </c>
      <c r="E52" s="11">
        <v>0</v>
      </c>
      <c r="F52" s="11">
        <v>720</v>
      </c>
      <c r="G52" s="11">
        <v>-720</v>
      </c>
      <c r="H52" s="16">
        <v>0</v>
      </c>
      <c r="I52" s="16">
        <v>0</v>
      </c>
      <c r="J52" s="16">
        <v>720</v>
      </c>
      <c r="K52" s="16">
        <f t="shared" si="0"/>
        <v>-720</v>
      </c>
    </row>
    <row r="53" spans="1:11" ht="12" x14ac:dyDescent="0.15">
      <c r="A53" s="5" t="s">
        <v>117</v>
      </c>
      <c r="B53" s="5" t="s">
        <v>102</v>
      </c>
      <c r="C53" s="5" t="s">
        <v>118</v>
      </c>
      <c r="D53" s="11">
        <v>0</v>
      </c>
      <c r="E53" s="11">
        <v>0</v>
      </c>
      <c r="F53" s="11">
        <v>300</v>
      </c>
      <c r="G53" s="11">
        <v>-300</v>
      </c>
      <c r="H53" s="16">
        <v>0</v>
      </c>
      <c r="I53" s="16">
        <v>0</v>
      </c>
      <c r="J53" s="16">
        <v>300</v>
      </c>
      <c r="K53" s="16">
        <f t="shared" si="0"/>
        <v>-300</v>
      </c>
    </row>
    <row r="54" spans="1:11" ht="12" x14ac:dyDescent="0.15">
      <c r="A54" s="5" t="s">
        <v>119</v>
      </c>
      <c r="B54" s="5" t="s">
        <v>102</v>
      </c>
      <c r="C54" s="5" t="s">
        <v>120</v>
      </c>
      <c r="D54" s="11">
        <v>0</v>
      </c>
      <c r="E54" s="11">
        <v>0</v>
      </c>
      <c r="F54" s="11">
        <v>670.63</v>
      </c>
      <c r="G54" s="11">
        <v>-670.63</v>
      </c>
      <c r="H54" s="16">
        <v>0</v>
      </c>
      <c r="I54" s="16">
        <v>0</v>
      </c>
      <c r="J54" s="16">
        <v>670.63</v>
      </c>
      <c r="K54" s="16">
        <f t="shared" si="0"/>
        <v>-670.63</v>
      </c>
    </row>
    <row r="55" spans="1:11" ht="12" x14ac:dyDescent="0.15">
      <c r="A55" s="5" t="s">
        <v>121</v>
      </c>
      <c r="B55" s="5" t="s">
        <v>102</v>
      </c>
      <c r="C55" s="5" t="s">
        <v>122</v>
      </c>
      <c r="D55" s="11">
        <v>0</v>
      </c>
      <c r="E55" s="11">
        <v>6533</v>
      </c>
      <c r="F55" s="11">
        <v>6533</v>
      </c>
      <c r="G55" s="11">
        <v>0</v>
      </c>
      <c r="H55" s="16">
        <v>0</v>
      </c>
      <c r="I55" s="16">
        <v>6533</v>
      </c>
      <c r="J55" s="16">
        <v>6533</v>
      </c>
      <c r="K55" s="16">
        <f t="shared" si="0"/>
        <v>0</v>
      </c>
    </row>
    <row r="56" spans="1:11" ht="12" x14ac:dyDescent="0.15">
      <c r="A56" s="5" t="s">
        <v>123</v>
      </c>
      <c r="B56" s="5" t="s">
        <v>125</v>
      </c>
      <c r="C56" s="5" t="s">
        <v>124</v>
      </c>
      <c r="D56" s="11">
        <v>0</v>
      </c>
      <c r="E56" s="11">
        <v>1.5</v>
      </c>
      <c r="F56" s="11">
        <v>0</v>
      </c>
      <c r="G56" s="11">
        <v>1.5</v>
      </c>
      <c r="H56" s="16">
        <v>0</v>
      </c>
      <c r="I56" s="16">
        <v>1.5</v>
      </c>
      <c r="J56" s="16">
        <v>0</v>
      </c>
      <c r="K56" s="16">
        <f t="shared" si="0"/>
        <v>1.5</v>
      </c>
    </row>
    <row r="57" spans="1:11" ht="12" x14ac:dyDescent="0.15">
      <c r="A57" s="5" t="s">
        <v>126</v>
      </c>
      <c r="B57" s="5" t="s">
        <v>125</v>
      </c>
      <c r="C57" s="5" t="s">
        <v>127</v>
      </c>
      <c r="D57" s="11">
        <v>0</v>
      </c>
      <c r="E57" s="11">
        <v>3386.74</v>
      </c>
      <c r="F57" s="11">
        <v>0</v>
      </c>
      <c r="G57" s="11">
        <v>3386.74</v>
      </c>
      <c r="H57" s="16">
        <v>0</v>
      </c>
      <c r="I57" s="16">
        <v>3386.74</v>
      </c>
      <c r="J57" s="16">
        <v>0</v>
      </c>
      <c r="K57" s="16">
        <f t="shared" si="0"/>
        <v>3386.74</v>
      </c>
    </row>
    <row r="58" spans="1:11" ht="12" x14ac:dyDescent="0.15">
      <c r="A58" s="5">
        <v>441300</v>
      </c>
      <c r="B58" s="5" t="s">
        <v>125</v>
      </c>
      <c r="C58" s="5" t="s">
        <v>128</v>
      </c>
      <c r="D58" s="11">
        <v>0</v>
      </c>
      <c r="E58" s="11">
        <v>84060.15</v>
      </c>
      <c r="F58" s="11">
        <v>0</v>
      </c>
      <c r="G58" s="11">
        <v>84060.15</v>
      </c>
      <c r="H58" s="16">
        <v>0</v>
      </c>
      <c r="I58" s="16">
        <v>84060.15</v>
      </c>
      <c r="J58" s="16">
        <v>0</v>
      </c>
      <c r="K58" s="16">
        <f t="shared" si="0"/>
        <v>84060.15</v>
      </c>
    </row>
    <row r="59" spans="1:11" ht="12" x14ac:dyDescent="0.15">
      <c r="A59" s="5" t="s">
        <v>129</v>
      </c>
      <c r="B59" s="5" t="s">
        <v>125</v>
      </c>
      <c r="C59" s="5" t="s">
        <v>130</v>
      </c>
      <c r="D59" s="11">
        <v>0</v>
      </c>
      <c r="E59" s="11">
        <v>57.44</v>
      </c>
      <c r="F59" s="11">
        <v>0</v>
      </c>
      <c r="G59" s="11">
        <v>57.44</v>
      </c>
      <c r="H59" s="16">
        <v>0</v>
      </c>
      <c r="I59" s="16">
        <v>57.44</v>
      </c>
      <c r="J59" s="16">
        <v>0</v>
      </c>
      <c r="K59" s="16">
        <f t="shared" si="0"/>
        <v>57.44</v>
      </c>
    </row>
    <row r="60" spans="1:11" ht="12" x14ac:dyDescent="0.15">
      <c r="A60" s="5" t="s">
        <v>131</v>
      </c>
      <c r="B60" s="5" t="s">
        <v>125</v>
      </c>
      <c r="C60" s="5" t="s">
        <v>132</v>
      </c>
      <c r="D60" s="11">
        <v>0</v>
      </c>
      <c r="E60" s="11">
        <v>3492.68</v>
      </c>
      <c r="F60" s="11">
        <v>0</v>
      </c>
      <c r="G60" s="11">
        <v>3492.68</v>
      </c>
      <c r="H60" s="16">
        <v>0</v>
      </c>
      <c r="I60" s="16">
        <v>3492.68</v>
      </c>
      <c r="J60" s="16">
        <v>0</v>
      </c>
      <c r="K60" s="16">
        <f t="shared" si="0"/>
        <v>3492.68</v>
      </c>
    </row>
    <row r="61" spans="1:11" ht="12" x14ac:dyDescent="0.15">
      <c r="A61" s="5" t="s">
        <v>133</v>
      </c>
      <c r="B61" s="5" t="s">
        <v>125</v>
      </c>
      <c r="C61" s="5" t="s">
        <v>134</v>
      </c>
      <c r="D61" s="11">
        <v>0</v>
      </c>
      <c r="E61" s="11">
        <v>87.32</v>
      </c>
      <c r="F61" s="11">
        <v>0</v>
      </c>
      <c r="G61" s="11">
        <v>87.32</v>
      </c>
      <c r="H61" s="16">
        <v>0</v>
      </c>
      <c r="I61" s="16">
        <v>87.32</v>
      </c>
      <c r="J61" s="16">
        <v>0</v>
      </c>
      <c r="K61" s="16">
        <f t="shared" si="0"/>
        <v>87.32</v>
      </c>
    </row>
    <row r="62" spans="1:11" ht="12" x14ac:dyDescent="0.15">
      <c r="A62" s="5" t="s">
        <v>135</v>
      </c>
      <c r="B62" s="5" t="s">
        <v>125</v>
      </c>
      <c r="C62" s="5" t="s">
        <v>136</v>
      </c>
      <c r="D62" s="11">
        <v>0</v>
      </c>
      <c r="E62" s="11">
        <v>12.3</v>
      </c>
      <c r="F62" s="11">
        <v>0</v>
      </c>
      <c r="G62" s="11">
        <v>12.3</v>
      </c>
      <c r="H62" s="16">
        <v>0</v>
      </c>
      <c r="I62" s="16">
        <v>12.3</v>
      </c>
      <c r="J62" s="16">
        <v>0</v>
      </c>
      <c r="K62" s="16">
        <f t="shared" si="0"/>
        <v>12.3</v>
      </c>
    </row>
    <row r="63" spans="1:11" ht="12" x14ac:dyDescent="0.15">
      <c r="A63" s="5" t="s">
        <v>137</v>
      </c>
      <c r="B63" s="5" t="s">
        <v>125</v>
      </c>
      <c r="C63" s="5" t="s">
        <v>138</v>
      </c>
      <c r="D63" s="11">
        <v>0</v>
      </c>
      <c r="E63" s="11">
        <v>118.88</v>
      </c>
      <c r="F63" s="11">
        <v>0</v>
      </c>
      <c r="G63" s="11">
        <v>118.88</v>
      </c>
      <c r="H63" s="16">
        <v>0</v>
      </c>
      <c r="I63" s="16">
        <v>118.88</v>
      </c>
      <c r="J63" s="16">
        <v>0</v>
      </c>
      <c r="K63" s="16">
        <f t="shared" si="0"/>
        <v>118.88</v>
      </c>
    </row>
    <row r="64" spans="1:11" ht="12" x14ac:dyDescent="0.15">
      <c r="A64" s="5" t="s">
        <v>139</v>
      </c>
      <c r="B64" s="5" t="s">
        <v>125</v>
      </c>
      <c r="C64" s="5" t="s">
        <v>140</v>
      </c>
      <c r="D64" s="11">
        <v>0</v>
      </c>
      <c r="E64" s="11">
        <v>176.31</v>
      </c>
      <c r="F64" s="11">
        <v>0</v>
      </c>
      <c r="G64" s="11">
        <v>176.31</v>
      </c>
      <c r="H64" s="16">
        <v>0</v>
      </c>
      <c r="I64" s="16">
        <v>176.31</v>
      </c>
      <c r="J64" s="16">
        <v>0</v>
      </c>
      <c r="K64" s="16">
        <f t="shared" si="0"/>
        <v>176.31</v>
      </c>
    </row>
    <row r="65" spans="1:11" ht="12" x14ac:dyDescent="0.15">
      <c r="A65" s="5" t="s">
        <v>141</v>
      </c>
      <c r="B65" s="5" t="s">
        <v>125</v>
      </c>
      <c r="C65" s="5" t="s">
        <v>142</v>
      </c>
      <c r="D65" s="11">
        <v>0</v>
      </c>
      <c r="E65" s="11">
        <v>443.75</v>
      </c>
      <c r="F65" s="11">
        <v>0</v>
      </c>
      <c r="G65" s="11">
        <v>443.75</v>
      </c>
      <c r="H65" s="16">
        <v>0</v>
      </c>
      <c r="I65" s="16">
        <v>443.75</v>
      </c>
      <c r="J65" s="16">
        <v>0</v>
      </c>
      <c r="K65" s="16">
        <f t="shared" si="0"/>
        <v>443.75</v>
      </c>
    </row>
    <row r="66" spans="1:11" ht="12" x14ac:dyDescent="0.15">
      <c r="A66" s="5" t="s">
        <v>143</v>
      </c>
      <c r="B66" s="5" t="s">
        <v>125</v>
      </c>
      <c r="C66" s="5" t="s">
        <v>144</v>
      </c>
      <c r="D66" s="11">
        <v>0</v>
      </c>
      <c r="E66" s="11">
        <v>2226.4899999999998</v>
      </c>
      <c r="F66" s="11">
        <v>0</v>
      </c>
      <c r="G66" s="11">
        <v>2226.4899999999998</v>
      </c>
      <c r="H66" s="16">
        <v>0</v>
      </c>
      <c r="I66" s="16">
        <v>2226.4899999999998</v>
      </c>
      <c r="J66" s="16">
        <v>0</v>
      </c>
      <c r="K66" s="16">
        <f t="shared" si="0"/>
        <v>2226.4899999999998</v>
      </c>
    </row>
    <row r="67" spans="1:11" ht="12" x14ac:dyDescent="0.15">
      <c r="A67" s="5" t="s">
        <v>145</v>
      </c>
      <c r="B67" s="5" t="s">
        <v>125</v>
      </c>
      <c r="C67" s="5" t="s">
        <v>146</v>
      </c>
      <c r="D67" s="11">
        <v>0</v>
      </c>
      <c r="E67" s="11">
        <v>20.48</v>
      </c>
      <c r="F67" s="11">
        <v>0</v>
      </c>
      <c r="G67" s="11">
        <v>20.48</v>
      </c>
      <c r="H67" s="16">
        <v>0</v>
      </c>
      <c r="I67" s="16">
        <v>20.48</v>
      </c>
      <c r="J67" s="16">
        <v>0</v>
      </c>
      <c r="K67" s="16">
        <f t="shared" si="0"/>
        <v>20.48</v>
      </c>
    </row>
    <row r="68" spans="1:11" ht="12" x14ac:dyDescent="0.15">
      <c r="A68" s="5" t="s">
        <v>147</v>
      </c>
      <c r="B68" s="5" t="s">
        <v>125</v>
      </c>
      <c r="C68" s="5" t="s">
        <v>148</v>
      </c>
      <c r="D68" s="11">
        <v>0</v>
      </c>
      <c r="E68" s="11">
        <v>976.14</v>
      </c>
      <c r="F68" s="11">
        <v>0</v>
      </c>
      <c r="G68" s="11">
        <v>976.14</v>
      </c>
      <c r="H68" s="16">
        <v>0</v>
      </c>
      <c r="I68" s="16">
        <v>976.14</v>
      </c>
      <c r="J68" s="16">
        <v>0</v>
      </c>
      <c r="K68" s="16">
        <f t="shared" si="0"/>
        <v>976.14</v>
      </c>
    </row>
    <row r="69" spans="1:11" ht="12" x14ac:dyDescent="0.15">
      <c r="A69" s="5" t="s">
        <v>149</v>
      </c>
      <c r="B69" s="5" t="s">
        <v>125</v>
      </c>
      <c r="C69" s="5" t="s">
        <v>150</v>
      </c>
      <c r="D69" s="11">
        <v>0</v>
      </c>
      <c r="E69" s="11">
        <v>53.33</v>
      </c>
      <c r="F69" s="11">
        <v>0</v>
      </c>
      <c r="G69" s="11">
        <v>53.33</v>
      </c>
      <c r="H69" s="16">
        <v>0</v>
      </c>
      <c r="I69" s="16">
        <v>53.33</v>
      </c>
      <c r="J69" s="16">
        <v>0</v>
      </c>
      <c r="K69" s="16">
        <f t="shared" si="0"/>
        <v>53.33</v>
      </c>
    </row>
    <row r="70" spans="1:11" ht="12" x14ac:dyDescent="0.15">
      <c r="A70" s="5" t="s">
        <v>151</v>
      </c>
      <c r="B70" s="5" t="s">
        <v>125</v>
      </c>
      <c r="C70" s="5" t="s">
        <v>152</v>
      </c>
      <c r="D70" s="11">
        <v>0</v>
      </c>
      <c r="E70" s="11">
        <v>0.01</v>
      </c>
      <c r="F70" s="11">
        <v>0</v>
      </c>
      <c r="G70" s="11">
        <v>0.01</v>
      </c>
      <c r="H70" s="16">
        <v>0</v>
      </c>
      <c r="I70" s="16">
        <v>0.01</v>
      </c>
      <c r="J70" s="16">
        <v>0</v>
      </c>
      <c r="K70" s="16">
        <f t="shared" si="0"/>
        <v>0.01</v>
      </c>
    </row>
    <row r="71" spans="1:11" ht="12" x14ac:dyDescent="0.15">
      <c r="A71" s="5" t="s">
        <v>153</v>
      </c>
      <c r="B71" s="5" t="s">
        <v>125</v>
      </c>
      <c r="C71" s="5" t="s">
        <v>154</v>
      </c>
      <c r="D71" s="11">
        <v>0</v>
      </c>
      <c r="E71" s="11">
        <v>0.33</v>
      </c>
      <c r="F71" s="11">
        <v>0</v>
      </c>
      <c r="G71" s="11">
        <v>0.33</v>
      </c>
      <c r="H71" s="16">
        <v>0</v>
      </c>
      <c r="I71" s="16">
        <v>0.33</v>
      </c>
      <c r="J71" s="16">
        <v>0</v>
      </c>
      <c r="K71" s="16">
        <f t="shared" si="0"/>
        <v>0.33</v>
      </c>
    </row>
    <row r="72" spans="1:11" ht="12" x14ac:dyDescent="0.15">
      <c r="A72" s="5" t="s">
        <v>155</v>
      </c>
      <c r="B72" s="5" t="s">
        <v>125</v>
      </c>
      <c r="C72" s="5" t="s">
        <v>156</v>
      </c>
      <c r="D72" s="11">
        <v>0</v>
      </c>
      <c r="E72" s="11">
        <v>6533</v>
      </c>
      <c r="F72" s="11">
        <v>6533</v>
      </c>
      <c r="G72" s="11">
        <v>0</v>
      </c>
      <c r="H72" s="16">
        <v>0</v>
      </c>
      <c r="I72" s="16">
        <v>6533</v>
      </c>
      <c r="J72" s="16">
        <v>6533</v>
      </c>
      <c r="K72" s="16">
        <f t="shared" ref="K72:K74" si="1">H72+I72-J72</f>
        <v>0</v>
      </c>
    </row>
    <row r="73" spans="1:11" ht="12" x14ac:dyDescent="0.15">
      <c r="A73" s="5" t="s">
        <v>157</v>
      </c>
      <c r="B73" s="5" t="s">
        <v>125</v>
      </c>
      <c r="C73" s="5" t="s">
        <v>158</v>
      </c>
      <c r="D73" s="11">
        <v>0</v>
      </c>
      <c r="E73" s="11">
        <v>125.44</v>
      </c>
      <c r="F73" s="11">
        <v>0</v>
      </c>
      <c r="G73" s="11">
        <v>125.44</v>
      </c>
      <c r="H73" s="16">
        <v>0</v>
      </c>
      <c r="I73" s="16">
        <v>125.44</v>
      </c>
      <c r="J73" s="16">
        <v>0</v>
      </c>
      <c r="K73" s="16">
        <f t="shared" si="1"/>
        <v>125.44</v>
      </c>
    </row>
    <row r="74" spans="1:11" ht="12" x14ac:dyDescent="0.15">
      <c r="A74" s="5" t="s">
        <v>159</v>
      </c>
      <c r="B74" s="5" t="s">
        <v>125</v>
      </c>
      <c r="C74" s="5" t="s">
        <v>160</v>
      </c>
      <c r="D74" s="11">
        <v>0</v>
      </c>
      <c r="E74" s="11">
        <v>0.56000000000000005</v>
      </c>
      <c r="F74" s="11">
        <v>0</v>
      </c>
      <c r="G74" s="11">
        <v>0.56000000000000005</v>
      </c>
      <c r="H74" s="16">
        <v>0</v>
      </c>
      <c r="I74" s="16">
        <v>0.56000000000000005</v>
      </c>
      <c r="J74" s="16">
        <v>0</v>
      </c>
      <c r="K74" s="16">
        <f t="shared" si="1"/>
        <v>0.56000000000000005</v>
      </c>
    </row>
    <row r="75" spans="1:11" ht="12" x14ac:dyDescent="0.15">
      <c r="A75" s="4"/>
      <c r="B75" s="4"/>
      <c r="C75" s="12" t="s">
        <v>161</v>
      </c>
      <c r="D75" s="13">
        <v>-5.4133142413093102E-11</v>
      </c>
      <c r="E75" s="13">
        <v>1132758.23</v>
      </c>
      <c r="F75" s="13">
        <v>1132758.23</v>
      </c>
      <c r="G75" s="13">
        <v>9.3132257461547893E-10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445afc7-8147-48fd-9212-af8008ee1f68}" enabled="1" method="Standard" siteId="{77920909-8782-4efb-aaf1-44ac114d7c0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 Meijer</cp:lastModifiedBy>
  <dcterms:created xsi:type="dcterms:W3CDTF">2026-04-22T06:02:43Z</dcterms:created>
  <dcterms:modified xsi:type="dcterms:W3CDTF">2026-04-22T08:15:00Z</dcterms:modified>
</cp:coreProperties>
</file>