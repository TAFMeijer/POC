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ommeijer/Git/Kwartaalrapportage/VISMA/"/>
    </mc:Choice>
  </mc:AlternateContent>
  <xr:revisionPtr revIDLastSave="0" documentId="13_ncr:1_{FF80E1F1-6077-0B40-A075-BC74624F48D3}" xr6:coauthVersionLast="47" xr6:coauthVersionMax="47" xr10:uidLastSave="{00000000-0000-0000-0000-000000000000}"/>
  <bookViews>
    <workbookView xWindow="-38400" yWindow="600" windowWidth="38400" windowHeight="21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" l="1"/>
  <c r="E35" i="1"/>
  <c r="G8" i="1" l="1"/>
</calcChain>
</file>

<file path=xl/sharedStrings.xml><?xml version="1.0" encoding="utf-8"?>
<sst xmlns="http://schemas.openxmlformats.org/spreadsheetml/2006/main" count="143" uniqueCount="107">
  <si>
    <t>Organisatie:</t>
  </si>
  <si>
    <t>OOY Vehicles B.V.</t>
  </si>
  <si>
    <t>Periode:</t>
  </si>
  <si>
    <t>Datum:</t>
  </si>
  <si>
    <t>Pagina:</t>
  </si>
  <si>
    <t>Gebruiker:</t>
  </si>
  <si>
    <t>1 van 2</t>
  </si>
  <si>
    <t>Tom Meijer</t>
  </si>
  <si>
    <t>01-2026 - 03-2026</t>
  </si>
  <si>
    <t>Grootboek</t>
  </si>
  <si>
    <t>Grootboek:</t>
  </si>
  <si>
    <t>0000-9999</t>
  </si>
  <si>
    <t>Rekeningen:</t>
  </si>
  <si>
    <t>Proefbalans (overzicht)</t>
  </si>
  <si>
    <t/>
  </si>
  <si>
    <t>Eindsaldo</t>
  </si>
  <si>
    <t>Credit</t>
  </si>
  <si>
    <t>Debet</t>
  </si>
  <si>
    <t>Beginsaldo</t>
  </si>
  <si>
    <t>Omschrijving</t>
  </si>
  <si>
    <t>Rekening</t>
  </si>
  <si>
    <t>Soort</t>
  </si>
  <si>
    <t>026000</t>
  </si>
  <si>
    <t>Auto</t>
  </si>
  <si>
    <t>A</t>
  </si>
  <si>
    <t>026010</t>
  </si>
  <si>
    <t>Auto -afschrijvingen</t>
  </si>
  <si>
    <t>100401</t>
  </si>
  <si>
    <t>RABO 397 - OOY Vehicles B.V.</t>
  </si>
  <si>
    <t>119000</t>
  </si>
  <si>
    <t>Kruisposten algemeen</t>
  </si>
  <si>
    <t>132000</t>
  </si>
  <si>
    <t>Debiteuren</t>
  </si>
  <si>
    <t>173200</t>
  </si>
  <si>
    <t>BTW te vorderen laag</t>
  </si>
  <si>
    <t>230000</t>
  </si>
  <si>
    <t>Tussenrekening activa</t>
  </si>
  <si>
    <t>026020</t>
  </si>
  <si>
    <t>Kickback Fee</t>
  </si>
  <si>
    <t>L</t>
  </si>
  <si>
    <t>049000</t>
  </si>
  <si>
    <t>Borgsommen</t>
  </si>
  <si>
    <t>050000</t>
  </si>
  <si>
    <t>Aandelenkapitaal</t>
  </si>
  <si>
    <t>054000</t>
  </si>
  <si>
    <t>Winstreserves</t>
  </si>
  <si>
    <t>054020</t>
  </si>
  <si>
    <t>Resultaat huidig jaar</t>
  </si>
  <si>
    <t>142090</t>
  </si>
  <si>
    <t>Overlopende Activa</t>
  </si>
  <si>
    <t>149100</t>
  </si>
  <si>
    <t>R/c OOY Holding B.V.</t>
  </si>
  <si>
    <t>149200</t>
  </si>
  <si>
    <t>R/c OOY Group Holding</t>
  </si>
  <si>
    <t>149300</t>
  </si>
  <si>
    <t>R/c OOY TECH</t>
  </si>
  <si>
    <t>149400</t>
  </si>
  <si>
    <t>R/c OOY Mobility</t>
  </si>
  <si>
    <t>153000</t>
  </si>
  <si>
    <t>Crediteuren</t>
  </si>
  <si>
    <t>169000</t>
  </si>
  <si>
    <t>Vooruitbetaalde bedragen</t>
  </si>
  <si>
    <t>171001</t>
  </si>
  <si>
    <t>Latentie vennootschapsbelasting (VPB)</t>
  </si>
  <si>
    <t>172100</t>
  </si>
  <si>
    <t>BTW verkopen hoog -af te dragen</t>
  </si>
  <si>
    <t>173100</t>
  </si>
  <si>
    <t>BTW voorbelastingen/uitgaven</t>
  </si>
  <si>
    <t>176000</t>
  </si>
  <si>
    <t>Betaalde/ontvangen BTW</t>
  </si>
  <si>
    <t>800100</t>
  </si>
  <si>
    <t>Omzet algemeen 21%</t>
  </si>
  <si>
    <t>I</t>
  </si>
  <si>
    <t>421300</t>
  </si>
  <si>
    <t>Huurkosten</t>
  </si>
  <si>
    <t>E</t>
  </si>
  <si>
    <t>422300</t>
  </si>
  <si>
    <t>SchoonmaakKosten</t>
  </si>
  <si>
    <t>429000</t>
  </si>
  <si>
    <t>Overige huisvestingsKosten</t>
  </si>
  <si>
    <t>441300</t>
  </si>
  <si>
    <t>Lease- en huurKosten auto</t>
  </si>
  <si>
    <t>442000</t>
  </si>
  <si>
    <t>OnderhoudsKosten auto</t>
  </si>
  <si>
    <t>443000</t>
  </si>
  <si>
    <t>Brandstof/benzine</t>
  </si>
  <si>
    <t>447000</t>
  </si>
  <si>
    <t>Verzekeringen vervoersmiddelen</t>
  </si>
  <si>
    <t>448000</t>
  </si>
  <si>
    <t>Boetes 0%</t>
  </si>
  <si>
    <t>464300</t>
  </si>
  <si>
    <t>Porti - Transportkosten</t>
  </si>
  <si>
    <t>475000</t>
  </si>
  <si>
    <t>Computer &amp; software Kosten</t>
  </si>
  <si>
    <t>476000</t>
  </si>
  <si>
    <t>Accountant- administratieKosten</t>
  </si>
  <si>
    <t>486100</t>
  </si>
  <si>
    <t>Betalings- en koersverschillen</t>
  </si>
  <si>
    <t>486400</t>
  </si>
  <si>
    <t>Afrondingsverschillen</t>
  </si>
  <si>
    <t>641000</t>
  </si>
  <si>
    <t>Betaalde rente</t>
  </si>
  <si>
    <t>641100</t>
  </si>
  <si>
    <t>BankKosten</t>
  </si>
  <si>
    <t>710000</t>
  </si>
  <si>
    <t>Inkopen</t>
  </si>
  <si>
    <t>Totaal: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</si>
</sst>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\-yyyy\ hh:mm"/>
    <numFmt numFmtId="165" formatCode="#,##0.00;[Red]\-#,##0.00"/>
  </numFmts>
  <fonts count="8" x14ac:knownFonts="1">
    <font>
      <sz val="9"/>
      <name val="Tahoma"/>
    </font>
    <font>
      <sz val="8"/>
      <name val="Arial"/>
      <family val="2"/>
    </font>
    <font>
      <sz val="8"/>
      <name val="Tahoma"/>
      <family val="2"/>
    </font>
    <font>
      <b/>
      <sz val="9"/>
      <name val="Tahoma"/>
      <family val="2"/>
    </font>
    <font>
      <sz val="8"/>
      <color rgb="FFFF0000"/>
      <name val="Tahoma"/>
      <family val="2"/>
    </font>
    <font>
      <b/>
      <sz val="8"/>
      <name val="Arial"/>
      <family val="2"/>
    </font>
    <font>
      <sz val="9"/>
      <name val="Tahoma"/>
      <family val="2"/>
    </font>
    <font>
      <sz val="8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none">
        <fgColor auto="1"/>
        <bgColor auto="1"/>
      </patternFill>
    </fill>
    <fill>
      <patternFill patternType="solid">
        <fgColor rgb="FFE6E6FA"/>
        <bgColor rgb="FFE6E6FA"/>
      </patternFill>
    </fill>
    <fill>
      <patternFill patternType="none">
        <fgColor auto="1"/>
        <bgColor auto="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80"/>
      </top>
      <bottom/>
      <diagonal/>
    </border>
    <border>
      <left/>
      <right/>
      <top style="thin">
        <color rgb="FF000080"/>
      </top>
      <bottom style="thin">
        <color rgb="FF000080"/>
      </bottom>
      <diagonal/>
    </border>
    <border>
      <left/>
      <right/>
      <top style="thin">
        <color rgb="FF000000"/>
      </top>
      <bottom/>
      <diagonal/>
    </border>
  </borders>
  <cellStyleXfs count="46">
    <xf numFmtId="0" fontId="0" fillId="0" borderId="0" applyAlignment="0"/>
    <xf numFmtId="0" fontId="6" fillId="2" borderId="1" applyAlignment="0"/>
    <xf numFmtId="0" fontId="1" fillId="2" borderId="1" applyAlignment="0"/>
    <xf numFmtId="0" fontId="1" fillId="2" borderId="1">
      <alignment horizontal="left" vertical="top"/>
    </xf>
    <xf numFmtId="0" fontId="1" fillId="2" borderId="1">
      <alignment horizontal="left" vertical="top"/>
    </xf>
    <xf numFmtId="0" fontId="1" fillId="2" borderId="1">
      <alignment horizontal="right" vertical="top"/>
    </xf>
    <xf numFmtId="0" fontId="1" fillId="2" borderId="1">
      <alignment horizontal="right" vertical="top"/>
    </xf>
    <xf numFmtId="164" fontId="1" fillId="2" borderId="1">
      <alignment horizontal="right" vertical="top"/>
    </xf>
    <xf numFmtId="0" fontId="2" fillId="2" borderId="1" applyAlignment="0"/>
    <xf numFmtId="0" fontId="2" fillId="2" borderId="1">
      <alignment horizontal="left" vertical="top"/>
    </xf>
    <xf numFmtId="0" fontId="2" fillId="2" borderId="1">
      <alignment horizontal="left" vertical="top"/>
    </xf>
    <xf numFmtId="0" fontId="2" fillId="2" borderId="1">
      <alignment horizontal="right" vertical="top"/>
    </xf>
    <xf numFmtId="0" fontId="2" fillId="2" borderId="1">
      <alignment horizontal="right" vertical="top"/>
    </xf>
    <xf numFmtId="0" fontId="3" fillId="2" borderId="1" applyAlignment="0"/>
    <xf numFmtId="0" fontId="3" fillId="2" borderId="1">
      <alignment horizontal="left" vertical="top"/>
    </xf>
    <xf numFmtId="0" fontId="3" fillId="2" borderId="1">
      <alignment horizontal="left" vertical="top"/>
    </xf>
    <xf numFmtId="0" fontId="4" fillId="2" borderId="1" applyAlignment="0"/>
    <xf numFmtId="0" fontId="4" fillId="2" borderId="1">
      <alignment horizontal="left" vertical="top"/>
    </xf>
    <xf numFmtId="0" fontId="4" fillId="2" borderId="1">
      <alignment horizontal="left" vertical="top"/>
    </xf>
    <xf numFmtId="0" fontId="5" fillId="2" borderId="1" applyAlignment="0"/>
    <xf numFmtId="0" fontId="5" fillId="2" borderId="1">
      <alignment horizontal="right" vertical="top"/>
    </xf>
    <xf numFmtId="0" fontId="5" fillId="2" borderId="1">
      <alignment horizontal="right" vertical="top"/>
    </xf>
    <xf numFmtId="0" fontId="5" fillId="2" borderId="1">
      <alignment horizontal="left" vertical="top"/>
    </xf>
    <xf numFmtId="0" fontId="5" fillId="2" borderId="1">
      <alignment horizontal="left" vertical="top"/>
    </xf>
    <xf numFmtId="0" fontId="5" fillId="2" borderId="2">
      <alignment horizontal="left" vertical="top"/>
    </xf>
    <xf numFmtId="0" fontId="5" fillId="2" borderId="2">
      <alignment horizontal="right" vertical="top"/>
    </xf>
    <xf numFmtId="0" fontId="5" fillId="2" borderId="3">
      <alignment horizontal="left" vertical="top"/>
    </xf>
    <xf numFmtId="0" fontId="5" fillId="2" borderId="3">
      <alignment horizontal="right" vertical="top"/>
    </xf>
    <xf numFmtId="0" fontId="5" fillId="3" borderId="3">
      <alignment horizontal="left" vertical="top"/>
    </xf>
    <xf numFmtId="0" fontId="5" fillId="3" borderId="3">
      <alignment horizontal="right" vertical="top"/>
    </xf>
    <xf numFmtId="165" fontId="1" fillId="2" borderId="1">
      <alignment horizontal="right" vertical="top"/>
    </xf>
    <xf numFmtId="0" fontId="6" fillId="0" borderId="4"/>
    <xf numFmtId="0" fontId="5" fillId="4" borderId="4">
      <alignment horizontal="left" vertical="top"/>
    </xf>
    <xf numFmtId="165" fontId="5" fillId="2" borderId="1">
      <alignment horizontal="right" vertical="top"/>
    </xf>
    <xf numFmtId="165" fontId="5" fillId="4" borderId="4">
      <alignment horizontal="right" vertical="top"/>
    </xf>
    <xf numFmtId="0" fontId="3" fillId="5" borderId="1">
      <alignment horizontal="left" vertical="top"/>
    </xf>
    <xf numFmtId="0" fontId="6" fillId="5" borderId="0"/>
    <xf numFmtId="0" fontId="1" fillId="5" borderId="1">
      <alignment horizontal="left" vertical="top"/>
    </xf>
    <xf numFmtId="0" fontId="1" fillId="5" borderId="1">
      <alignment horizontal="right" vertical="top"/>
    </xf>
    <xf numFmtId="0" fontId="2" fillId="5" borderId="1">
      <alignment horizontal="left" vertical="top"/>
    </xf>
    <xf numFmtId="164" fontId="1" fillId="5" borderId="1">
      <alignment horizontal="right" vertical="top"/>
    </xf>
    <xf numFmtId="0" fontId="2" fillId="5" borderId="1">
      <alignment horizontal="right" vertical="top"/>
    </xf>
    <xf numFmtId="0" fontId="4" fillId="5" borderId="1">
      <alignment horizontal="left" vertical="top"/>
    </xf>
    <xf numFmtId="165" fontId="1" fillId="5" borderId="1">
      <alignment horizontal="right" vertical="top"/>
    </xf>
    <xf numFmtId="0" fontId="5" fillId="5" borderId="4">
      <alignment horizontal="left" vertical="top"/>
    </xf>
    <xf numFmtId="165" fontId="5" fillId="5" borderId="4">
      <alignment horizontal="right" vertical="top"/>
    </xf>
  </cellStyleXfs>
  <cellXfs count="17">
    <xf numFmtId="0" fontId="0" fillId="0" borderId="0" xfId="0"/>
    <xf numFmtId="0" fontId="5" fillId="3" borderId="3" xfId="28">
      <alignment horizontal="left" vertical="top"/>
    </xf>
    <xf numFmtId="0" fontId="5" fillId="3" borderId="3" xfId="29">
      <alignment horizontal="right" vertical="top"/>
    </xf>
    <xf numFmtId="0" fontId="3" fillId="5" borderId="1" xfId="35">
      <alignment horizontal="left" vertical="top"/>
    </xf>
    <xf numFmtId="0" fontId="6" fillId="5" borderId="0" xfId="36"/>
    <xf numFmtId="0" fontId="1" fillId="5" borderId="1" xfId="37">
      <alignment horizontal="left" vertical="top"/>
    </xf>
    <xf numFmtId="0" fontId="1" fillId="5" borderId="1" xfId="38">
      <alignment horizontal="right" vertical="top"/>
    </xf>
    <xf numFmtId="0" fontId="2" fillId="5" borderId="1" xfId="39">
      <alignment horizontal="left" vertical="top"/>
    </xf>
    <xf numFmtId="164" fontId="1" fillId="5" borderId="1" xfId="40">
      <alignment horizontal="right" vertical="top"/>
    </xf>
    <xf numFmtId="0" fontId="2" fillId="5" borderId="1" xfId="41">
      <alignment horizontal="right" vertical="top"/>
    </xf>
    <xf numFmtId="0" fontId="4" fillId="5" borderId="1" xfId="42">
      <alignment horizontal="left" vertical="top"/>
    </xf>
    <xf numFmtId="165" fontId="1" fillId="5" borderId="1" xfId="43">
      <alignment horizontal="right" vertical="top"/>
    </xf>
    <xf numFmtId="0" fontId="5" fillId="5" borderId="4" xfId="44">
      <alignment horizontal="left" vertical="top"/>
    </xf>
    <xf numFmtId="165" fontId="5" fillId="5" borderId="4" xfId="45">
      <alignment horizontal="right" vertical="top"/>
    </xf>
    <xf numFmtId="0" fontId="6" fillId="0" borderId="0" xfId="0" applyFont="1"/>
    <xf numFmtId="3" fontId="0" fillId="0" borderId="0" xfId="0" applyNumberFormat="1"/>
    <xf numFmtId="165" fontId="7" fillId="6" borderId="1" xfId="43" applyFont="1" applyFill="1">
      <alignment horizontal="right" vertical="top"/>
    </xf>
  </cellXfs>
  <cellStyles count="46">
    <cellStyle name="Normal" xfId="0" builtinId="0"/>
    <cellStyle name="Style 1" xfId="1" xr:uid="{00000000-0005-0000-0000-000001000000}"/>
    <cellStyle name="Style 10" xfId="10" xr:uid="{00000000-0005-0000-0000-00000A000000}"/>
    <cellStyle name="Style 11" xfId="11" xr:uid="{00000000-0005-0000-0000-00000B000000}"/>
    <cellStyle name="Style 12" xfId="12" xr:uid="{00000000-0005-0000-0000-00000C000000}"/>
    <cellStyle name="Style 13" xfId="13" xr:uid="{00000000-0005-0000-0000-00000D000000}"/>
    <cellStyle name="Style 14" xfId="14" xr:uid="{00000000-0005-0000-0000-00000E000000}"/>
    <cellStyle name="Style 15" xfId="15" xr:uid="{00000000-0005-0000-0000-00000F000000}"/>
    <cellStyle name="Style 16" xfId="16" xr:uid="{00000000-0005-0000-0000-000010000000}"/>
    <cellStyle name="Style 17" xfId="17" xr:uid="{00000000-0005-0000-0000-000011000000}"/>
    <cellStyle name="Style 18" xfId="18" xr:uid="{00000000-0005-0000-0000-000012000000}"/>
    <cellStyle name="Style 19" xfId="19" xr:uid="{00000000-0005-0000-0000-000013000000}"/>
    <cellStyle name="Style 2" xfId="2" xr:uid="{00000000-0005-0000-0000-000002000000}"/>
    <cellStyle name="Style 20" xfId="20" xr:uid="{00000000-0005-0000-0000-000014000000}"/>
    <cellStyle name="Style 21" xfId="21" xr:uid="{00000000-0005-0000-0000-000015000000}"/>
    <cellStyle name="Style 22" xfId="22" xr:uid="{00000000-0005-0000-0000-000016000000}"/>
    <cellStyle name="Style 23" xfId="23" xr:uid="{00000000-0005-0000-0000-000017000000}"/>
    <cellStyle name="Style 24" xfId="24" xr:uid="{00000000-0005-0000-0000-000018000000}"/>
    <cellStyle name="Style 25" xfId="25" xr:uid="{00000000-0005-0000-0000-000019000000}"/>
    <cellStyle name="Style 26" xfId="26" xr:uid="{00000000-0005-0000-0000-00001A000000}"/>
    <cellStyle name="Style 27" xfId="27" xr:uid="{00000000-0005-0000-0000-00001B000000}"/>
    <cellStyle name="Style 28" xfId="28" xr:uid="{00000000-0005-0000-0000-00001C000000}"/>
    <cellStyle name="Style 29" xfId="29" xr:uid="{00000000-0005-0000-0000-00001D000000}"/>
    <cellStyle name="Style 3" xfId="3" xr:uid="{00000000-0005-0000-0000-000003000000}"/>
    <cellStyle name="Style 30" xfId="30" xr:uid="{00000000-0005-0000-0000-00001E000000}"/>
    <cellStyle name="Style 31" xfId="31" xr:uid="{00000000-0005-0000-0000-00001F000000}"/>
    <cellStyle name="Style 32" xfId="32" xr:uid="{00000000-0005-0000-0000-000020000000}"/>
    <cellStyle name="Style 33" xfId="33" xr:uid="{00000000-0005-0000-0000-000021000000}"/>
    <cellStyle name="Style 34" xfId="34" xr:uid="{00000000-0005-0000-0000-000022000000}"/>
    <cellStyle name="Style 35" xfId="35" xr:uid="{00000000-0005-0000-0000-000023000000}"/>
    <cellStyle name="Style 36" xfId="36" xr:uid="{00000000-0005-0000-0000-000024000000}"/>
    <cellStyle name="Style 37" xfId="37" xr:uid="{00000000-0005-0000-0000-000025000000}"/>
    <cellStyle name="Style 38" xfId="38" xr:uid="{00000000-0005-0000-0000-000026000000}"/>
    <cellStyle name="Style 39" xfId="39" xr:uid="{00000000-0005-0000-0000-000027000000}"/>
    <cellStyle name="Style 4" xfId="4" xr:uid="{00000000-0005-0000-0000-000004000000}"/>
    <cellStyle name="Style 40" xfId="40" xr:uid="{00000000-0005-0000-0000-000028000000}"/>
    <cellStyle name="Style 41" xfId="41" xr:uid="{00000000-0005-0000-0000-000029000000}"/>
    <cellStyle name="Style 42" xfId="42" xr:uid="{00000000-0005-0000-0000-00002A000000}"/>
    <cellStyle name="Style 43" xfId="43" xr:uid="{00000000-0005-0000-0000-00002B000000}"/>
    <cellStyle name="Style 44" xfId="44" xr:uid="{00000000-0005-0000-0000-00002C000000}"/>
    <cellStyle name="Style 45" xfId="45" xr:uid="{00000000-0005-0000-0000-00002D000000}"/>
    <cellStyle name="Style 5" xfId="5" xr:uid="{00000000-0005-0000-0000-000005000000}"/>
    <cellStyle name="Style 6" xfId="6" xr:uid="{00000000-0005-0000-0000-000006000000}"/>
    <cellStyle name="Style 7" xfId="7" xr:uid="{00000000-0005-0000-0000-000007000000}"/>
    <cellStyle name="Style 8" xfId="8" xr:uid="{00000000-0005-0000-0000-000008000000}"/>
    <cellStyle name="Style 9" xfId="9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7"/>
  <sheetViews>
    <sheetView tabSelected="1" workbookViewId="0">
      <selection activeCell="G36" sqref="G36"/>
    </sheetView>
  </sheetViews>
  <sheetFormatPr baseColWidth="10" defaultRowHeight="12" x14ac:dyDescent="0.15"/>
  <cols>
    <col min="1" max="1" width="16" customWidth="1"/>
    <col min="2" max="2" width="6" customWidth="1"/>
    <col min="3" max="3" width="65" customWidth="1"/>
    <col min="4" max="4" width="20" customWidth="1"/>
    <col min="5" max="6" width="21" customWidth="1"/>
    <col min="7" max="7" width="20" customWidth="1"/>
  </cols>
  <sheetData>
    <row r="1" spans="1:11" x14ac:dyDescent="0.15">
      <c r="A1" s="3" t="s">
        <v>13</v>
      </c>
      <c r="B1" s="4"/>
      <c r="C1" s="4"/>
      <c r="D1" s="4"/>
      <c r="E1" s="4"/>
      <c r="F1" s="5" t="s">
        <v>4</v>
      </c>
      <c r="G1" s="6" t="s">
        <v>6</v>
      </c>
    </row>
    <row r="2" spans="1:11" x14ac:dyDescent="0.15">
      <c r="A2" s="5" t="s">
        <v>0</v>
      </c>
      <c r="B2" s="5" t="s">
        <v>1</v>
      </c>
      <c r="C2" s="4"/>
      <c r="D2" s="5" t="s">
        <v>10</v>
      </c>
      <c r="E2" s="7" t="s">
        <v>9</v>
      </c>
      <c r="F2" s="5" t="s">
        <v>3</v>
      </c>
      <c r="G2" s="8">
        <v>46134.2524619697</v>
      </c>
    </row>
    <row r="3" spans="1:11" x14ac:dyDescent="0.15">
      <c r="A3" s="5" t="s">
        <v>5</v>
      </c>
      <c r="B3" s="5" t="s">
        <v>7</v>
      </c>
      <c r="C3" s="4"/>
      <c r="D3" s="5" t="s">
        <v>2</v>
      </c>
      <c r="E3" s="5" t="s">
        <v>8</v>
      </c>
      <c r="F3" s="5" t="s">
        <v>12</v>
      </c>
      <c r="G3" s="9" t="s">
        <v>11</v>
      </c>
    </row>
    <row r="4" spans="1:11" x14ac:dyDescent="0.15">
      <c r="A4" s="4"/>
      <c r="B4" s="4"/>
      <c r="C4" s="4"/>
      <c r="D4" s="10" t="s">
        <v>14</v>
      </c>
      <c r="E4" s="4"/>
      <c r="F4" s="4"/>
      <c r="G4" s="4"/>
    </row>
    <row r="5" spans="1:11" x14ac:dyDescent="0.15">
      <c r="A5" s="4"/>
      <c r="B5" s="4"/>
      <c r="C5" s="4"/>
      <c r="D5" s="4"/>
      <c r="E5" s="4"/>
      <c r="F5" s="4"/>
      <c r="G5" s="4"/>
    </row>
    <row r="6" spans="1:11" x14ac:dyDescent="0.15">
      <c r="A6" s="1" t="s">
        <v>20</v>
      </c>
      <c r="B6" s="1" t="s">
        <v>21</v>
      </c>
      <c r="C6" s="1" t="s">
        <v>19</v>
      </c>
      <c r="D6" s="2" t="s">
        <v>18</v>
      </c>
      <c r="E6" s="2" t="s">
        <v>17</v>
      </c>
      <c r="F6" s="2" t="s">
        <v>16</v>
      </c>
      <c r="G6" s="2" t="s">
        <v>15</v>
      </c>
    </row>
    <row r="7" spans="1:11" x14ac:dyDescent="0.15">
      <c r="A7" s="5" t="s">
        <v>22</v>
      </c>
      <c r="B7" s="5" t="s">
        <v>24</v>
      </c>
      <c r="C7" s="5" t="s">
        <v>23</v>
      </c>
      <c r="D7" s="11">
        <v>1390977.85</v>
      </c>
      <c r="E7" s="11">
        <v>0</v>
      </c>
      <c r="F7" s="11">
        <v>0</v>
      </c>
      <c r="G7" s="11">
        <v>1390977.85</v>
      </c>
      <c r="J7" s="14"/>
      <c r="K7" s="15"/>
    </row>
    <row r="8" spans="1:11" x14ac:dyDescent="0.15">
      <c r="A8" s="5" t="s">
        <v>25</v>
      </c>
      <c r="B8" s="5" t="s">
        <v>24</v>
      </c>
      <c r="C8" s="5" t="s">
        <v>26</v>
      </c>
      <c r="D8" s="11">
        <v>-172838.62</v>
      </c>
      <c r="E8" s="11">
        <v>0</v>
      </c>
      <c r="F8" s="16">
        <v>21008.54</v>
      </c>
      <c r="G8" s="11">
        <f>-172838.62-F8</f>
        <v>-193847.16</v>
      </c>
      <c r="J8" s="14"/>
      <c r="K8" s="15"/>
    </row>
    <row r="9" spans="1:11" x14ac:dyDescent="0.15">
      <c r="A9" s="5" t="s">
        <v>27</v>
      </c>
      <c r="B9" s="5" t="s">
        <v>24</v>
      </c>
      <c r="C9" s="5" t="s">
        <v>28</v>
      </c>
      <c r="D9" s="11">
        <v>200.96</v>
      </c>
      <c r="E9" s="11">
        <v>135772.76</v>
      </c>
      <c r="F9" s="11">
        <v>119295.39</v>
      </c>
      <c r="G9" s="11">
        <v>16678.330000000002</v>
      </c>
    </row>
    <row r="10" spans="1:11" x14ac:dyDescent="0.15">
      <c r="A10" s="5" t="s">
        <v>29</v>
      </c>
      <c r="B10" s="5" t="s">
        <v>24</v>
      </c>
      <c r="C10" s="5" t="s">
        <v>30</v>
      </c>
      <c r="D10" s="11">
        <v>59</v>
      </c>
      <c r="E10" s="11">
        <v>21347.95</v>
      </c>
      <c r="F10" s="11">
        <v>21406.95</v>
      </c>
      <c r="G10" s="11">
        <v>0</v>
      </c>
    </row>
    <row r="11" spans="1:11" x14ac:dyDescent="0.15">
      <c r="A11" s="5" t="s">
        <v>31</v>
      </c>
      <c r="B11" s="5" t="s">
        <v>24</v>
      </c>
      <c r="C11" s="5" t="s">
        <v>32</v>
      </c>
      <c r="D11" s="11">
        <v>449513.41</v>
      </c>
      <c r="E11" s="11">
        <v>144558.66</v>
      </c>
      <c r="F11" s="11">
        <v>48186.22</v>
      </c>
      <c r="G11" s="11">
        <v>545885.85</v>
      </c>
    </row>
    <row r="12" spans="1:11" x14ac:dyDescent="0.15">
      <c r="A12" s="5" t="s">
        <v>33</v>
      </c>
      <c r="B12" s="5" t="s">
        <v>24</v>
      </c>
      <c r="C12" s="5" t="s">
        <v>34</v>
      </c>
      <c r="D12" s="11">
        <v>-7.97</v>
      </c>
      <c r="E12" s="11">
        <v>3.15</v>
      </c>
      <c r="F12" s="11">
        <v>0</v>
      </c>
      <c r="G12" s="11">
        <v>-4.82</v>
      </c>
    </row>
    <row r="13" spans="1:11" x14ac:dyDescent="0.15">
      <c r="A13" s="5" t="s">
        <v>35</v>
      </c>
      <c r="B13" s="5" t="s">
        <v>24</v>
      </c>
      <c r="C13" s="5" t="s">
        <v>36</v>
      </c>
      <c r="D13" s="11">
        <v>0.05</v>
      </c>
      <c r="E13" s="11">
        <v>0</v>
      </c>
      <c r="F13" s="11">
        <v>0</v>
      </c>
      <c r="G13" s="11">
        <v>0.05</v>
      </c>
    </row>
    <row r="14" spans="1:11" x14ac:dyDescent="0.15">
      <c r="A14" s="5" t="s">
        <v>37</v>
      </c>
      <c r="B14" s="5" t="s">
        <v>39</v>
      </c>
      <c r="C14" s="5" t="s">
        <v>38</v>
      </c>
      <c r="D14" s="11">
        <v>-413462</v>
      </c>
      <c r="E14" s="11">
        <v>0</v>
      </c>
      <c r="F14" s="11">
        <v>0</v>
      </c>
      <c r="G14" s="11">
        <v>-413462</v>
      </c>
    </row>
    <row r="15" spans="1:11" x14ac:dyDescent="0.15">
      <c r="A15" s="5" t="s">
        <v>40</v>
      </c>
      <c r="B15" s="5" t="s">
        <v>39</v>
      </c>
      <c r="C15" s="5" t="s">
        <v>41</v>
      </c>
      <c r="D15" s="11">
        <v>149</v>
      </c>
      <c r="E15" s="11">
        <v>0</v>
      </c>
      <c r="F15" s="11">
        <v>0</v>
      </c>
      <c r="G15" s="11">
        <v>149</v>
      </c>
    </row>
    <row r="16" spans="1:11" x14ac:dyDescent="0.15">
      <c r="A16" s="5" t="s">
        <v>42</v>
      </c>
      <c r="B16" s="5" t="s">
        <v>39</v>
      </c>
      <c r="C16" s="5" t="s">
        <v>43</v>
      </c>
      <c r="D16" s="11">
        <v>-12</v>
      </c>
      <c r="E16" s="11">
        <v>0</v>
      </c>
      <c r="F16" s="11">
        <v>0</v>
      </c>
      <c r="G16" s="11">
        <v>-12</v>
      </c>
    </row>
    <row r="17" spans="1:7" x14ac:dyDescent="0.15">
      <c r="A17" s="5" t="s">
        <v>44</v>
      </c>
      <c r="B17" s="5" t="s">
        <v>39</v>
      </c>
      <c r="C17" s="5" t="s">
        <v>45</v>
      </c>
      <c r="D17" s="11">
        <v>116640.65</v>
      </c>
      <c r="E17" s="11">
        <v>0</v>
      </c>
      <c r="F17" s="11">
        <v>0</v>
      </c>
      <c r="G17" s="11">
        <v>116640.65</v>
      </c>
    </row>
    <row r="18" spans="1:7" x14ac:dyDescent="0.15">
      <c r="A18" s="5" t="s">
        <v>46</v>
      </c>
      <c r="B18" s="5" t="s">
        <v>39</v>
      </c>
      <c r="C18" s="5" t="s">
        <v>47</v>
      </c>
      <c r="D18" s="11">
        <v>54649.54</v>
      </c>
      <c r="E18" s="11">
        <v>0</v>
      </c>
      <c r="F18" s="11">
        <v>0</v>
      </c>
      <c r="G18" s="11">
        <v>54649.54</v>
      </c>
    </row>
    <row r="19" spans="1:7" x14ac:dyDescent="0.15">
      <c r="A19" s="5" t="s">
        <v>48</v>
      </c>
      <c r="B19" s="5" t="s">
        <v>39</v>
      </c>
      <c r="C19" s="5" t="s">
        <v>49</v>
      </c>
      <c r="D19" s="11">
        <v>4444.1099999999997</v>
      </c>
      <c r="E19" s="11">
        <v>11.4</v>
      </c>
      <c r="F19" s="11">
        <v>0</v>
      </c>
      <c r="G19" s="11">
        <v>4455.51</v>
      </c>
    </row>
    <row r="20" spans="1:7" x14ac:dyDescent="0.15">
      <c r="A20" s="5" t="s">
        <v>50</v>
      </c>
      <c r="B20" s="5" t="s">
        <v>39</v>
      </c>
      <c r="C20" s="5" t="s">
        <v>51</v>
      </c>
      <c r="D20" s="11">
        <v>0</v>
      </c>
      <c r="E20" s="11">
        <v>0</v>
      </c>
      <c r="F20" s="11">
        <v>900</v>
      </c>
      <c r="G20" s="11">
        <v>-900</v>
      </c>
    </row>
    <row r="21" spans="1:7" x14ac:dyDescent="0.15">
      <c r="A21" s="5" t="s">
        <v>52</v>
      </c>
      <c r="B21" s="5" t="s">
        <v>39</v>
      </c>
      <c r="C21" s="5" t="s">
        <v>53</v>
      </c>
      <c r="D21" s="11">
        <v>-1146023.92</v>
      </c>
      <c r="E21" s="11">
        <v>0</v>
      </c>
      <c r="F21" s="11">
        <v>1850</v>
      </c>
      <c r="G21" s="11">
        <v>-1147873.92</v>
      </c>
    </row>
    <row r="22" spans="1:7" x14ac:dyDescent="0.15">
      <c r="A22" s="5" t="s">
        <v>54</v>
      </c>
      <c r="B22" s="5" t="s">
        <v>39</v>
      </c>
      <c r="C22" s="5" t="s">
        <v>55</v>
      </c>
      <c r="D22" s="11">
        <v>67659.710000000006</v>
      </c>
      <c r="E22" s="11">
        <v>0</v>
      </c>
      <c r="F22" s="11">
        <v>0</v>
      </c>
      <c r="G22" s="11">
        <v>67659.710000000006</v>
      </c>
    </row>
    <row r="23" spans="1:7" x14ac:dyDescent="0.15">
      <c r="A23" s="5" t="s">
        <v>56</v>
      </c>
      <c r="B23" s="5" t="s">
        <v>39</v>
      </c>
      <c r="C23" s="5" t="s">
        <v>57</v>
      </c>
      <c r="D23" s="11">
        <v>-118421</v>
      </c>
      <c r="E23" s="11">
        <v>0</v>
      </c>
      <c r="F23" s="11">
        <v>109710</v>
      </c>
      <c r="G23" s="11">
        <v>-228131</v>
      </c>
    </row>
    <row r="24" spans="1:7" x14ac:dyDescent="0.15">
      <c r="A24" s="5" t="s">
        <v>58</v>
      </c>
      <c r="B24" s="5" t="s">
        <v>39</v>
      </c>
      <c r="C24" s="5" t="s">
        <v>59</v>
      </c>
      <c r="D24" s="11">
        <v>-214114.08</v>
      </c>
      <c r="E24" s="11">
        <v>97796.07</v>
      </c>
      <c r="F24" s="11">
        <v>123712.53</v>
      </c>
      <c r="G24" s="11">
        <v>-240030.54</v>
      </c>
    </row>
    <row r="25" spans="1:7" x14ac:dyDescent="0.15">
      <c r="A25" s="5" t="s">
        <v>60</v>
      </c>
      <c r="B25" s="5" t="s">
        <v>39</v>
      </c>
      <c r="C25" s="5" t="s">
        <v>61</v>
      </c>
      <c r="D25" s="11">
        <v>0</v>
      </c>
      <c r="E25" s="11">
        <v>1792</v>
      </c>
      <c r="F25" s="11">
        <v>0</v>
      </c>
      <c r="G25" s="11">
        <v>1792</v>
      </c>
    </row>
    <row r="26" spans="1:7" x14ac:dyDescent="0.15">
      <c r="A26" s="5" t="s">
        <v>62</v>
      </c>
      <c r="B26" s="5" t="s">
        <v>39</v>
      </c>
      <c r="C26" s="5" t="s">
        <v>63</v>
      </c>
      <c r="D26" s="11">
        <v>16721.330000000002</v>
      </c>
      <c r="E26" s="11">
        <v>0</v>
      </c>
      <c r="F26" s="11">
        <v>0</v>
      </c>
      <c r="G26" s="11">
        <v>16721.330000000002</v>
      </c>
    </row>
    <row r="27" spans="1:7" x14ac:dyDescent="0.15">
      <c r="A27" s="5" t="s">
        <v>64</v>
      </c>
      <c r="B27" s="5" t="s">
        <v>39</v>
      </c>
      <c r="C27" s="5" t="s">
        <v>65</v>
      </c>
      <c r="D27" s="11">
        <v>-78101.36</v>
      </c>
      <c r="E27" s="11">
        <v>8362.84</v>
      </c>
      <c r="F27" s="11">
        <v>25088.52</v>
      </c>
      <c r="G27" s="11">
        <v>-94827.04</v>
      </c>
    </row>
    <row r="28" spans="1:7" x14ac:dyDescent="0.15">
      <c r="A28" s="5" t="s">
        <v>66</v>
      </c>
      <c r="B28" s="5" t="s">
        <v>39</v>
      </c>
      <c r="C28" s="5" t="s">
        <v>67</v>
      </c>
      <c r="D28" s="11">
        <v>58471.28</v>
      </c>
      <c r="E28" s="11">
        <v>18260.55</v>
      </c>
      <c r="F28" s="11">
        <v>0.74</v>
      </c>
      <c r="G28" s="11">
        <v>76731.09</v>
      </c>
    </row>
    <row r="29" spans="1:7" x14ac:dyDescent="0.15">
      <c r="A29" s="5" t="s">
        <v>68</v>
      </c>
      <c r="B29" s="5" t="s">
        <v>39</v>
      </c>
      <c r="C29" s="5" t="s">
        <v>69</v>
      </c>
      <c r="D29" s="11">
        <v>-16505.939999999999</v>
      </c>
      <c r="E29" s="11">
        <v>0</v>
      </c>
      <c r="F29" s="11">
        <v>0</v>
      </c>
      <c r="G29" s="11">
        <v>-16505.939999999999</v>
      </c>
    </row>
    <row r="30" spans="1:7" x14ac:dyDescent="0.15">
      <c r="A30" s="5" t="s">
        <v>70</v>
      </c>
      <c r="B30" s="5" t="s">
        <v>72</v>
      </c>
      <c r="C30" s="5" t="s">
        <v>71</v>
      </c>
      <c r="D30" s="11">
        <v>0</v>
      </c>
      <c r="E30" s="11">
        <v>39823.379999999997</v>
      </c>
      <c r="F30" s="11">
        <v>119470.14</v>
      </c>
      <c r="G30" s="11">
        <v>-79646.759999999995</v>
      </c>
    </row>
    <row r="31" spans="1:7" x14ac:dyDescent="0.15">
      <c r="A31" s="5" t="s">
        <v>73</v>
      </c>
      <c r="B31" s="5" t="s">
        <v>75</v>
      </c>
      <c r="C31" s="5" t="s">
        <v>74</v>
      </c>
      <c r="D31" s="11">
        <v>0</v>
      </c>
      <c r="E31" s="11">
        <v>4449.8999999999996</v>
      </c>
      <c r="F31" s="11">
        <v>0</v>
      </c>
      <c r="G31" s="11">
        <v>4449.8999999999996</v>
      </c>
    </row>
    <row r="32" spans="1:7" x14ac:dyDescent="0.15">
      <c r="A32" s="5" t="s">
        <v>76</v>
      </c>
      <c r="B32" s="5" t="s">
        <v>75</v>
      </c>
      <c r="C32" s="5" t="s">
        <v>77</v>
      </c>
      <c r="D32" s="11">
        <v>0</v>
      </c>
      <c r="E32" s="11">
        <v>35</v>
      </c>
      <c r="F32" s="11">
        <v>0</v>
      </c>
      <c r="G32" s="11">
        <v>35</v>
      </c>
    </row>
    <row r="33" spans="1:7" x14ac:dyDescent="0.15">
      <c r="A33" s="5" t="s">
        <v>78</v>
      </c>
      <c r="B33" s="5" t="s">
        <v>75</v>
      </c>
      <c r="C33" s="5" t="s">
        <v>79</v>
      </c>
      <c r="D33" s="11">
        <v>0</v>
      </c>
      <c r="E33" s="11">
        <v>2521.29</v>
      </c>
      <c r="F33" s="11">
        <v>0</v>
      </c>
      <c r="G33" s="11">
        <v>2521.29</v>
      </c>
    </row>
    <row r="34" spans="1:7" x14ac:dyDescent="0.15">
      <c r="A34" s="5" t="s">
        <v>80</v>
      </c>
      <c r="B34" s="5" t="s">
        <v>75</v>
      </c>
      <c r="C34" s="5" t="s">
        <v>81</v>
      </c>
      <c r="D34" s="11">
        <v>0</v>
      </c>
      <c r="E34" s="11">
        <v>28445.32</v>
      </c>
      <c r="F34" s="11">
        <v>0</v>
      </c>
      <c r="G34" s="11">
        <v>28445.32</v>
      </c>
    </row>
    <row r="35" spans="1:7" x14ac:dyDescent="0.15">
      <c r="A35" s="5" t="s">
        <v>82</v>
      </c>
      <c r="B35" s="5" t="s">
        <v>75</v>
      </c>
      <c r="C35" s="5" t="s">
        <v>83</v>
      </c>
      <c r="D35" s="11">
        <v>0</v>
      </c>
      <c r="E35" s="16">
        <f>37066.33-6916.77-16525.46</f>
        <v>13624.100000000002</v>
      </c>
      <c r="F35" s="11">
        <v>0</v>
      </c>
      <c r="G35" s="11">
        <f>D35+E35-F35</f>
        <v>13624.100000000002</v>
      </c>
    </row>
    <row r="36" spans="1:7" x14ac:dyDescent="0.15">
      <c r="A36" s="5" t="s">
        <v>84</v>
      </c>
      <c r="B36" s="5" t="s">
        <v>75</v>
      </c>
      <c r="C36" s="5" t="s">
        <v>85</v>
      </c>
      <c r="D36" s="11">
        <v>0</v>
      </c>
      <c r="E36" s="11">
        <v>644.14</v>
      </c>
      <c r="F36" s="11">
        <v>0</v>
      </c>
      <c r="G36" s="11">
        <v>644.14</v>
      </c>
    </row>
    <row r="37" spans="1:7" x14ac:dyDescent="0.15">
      <c r="A37" s="5" t="s">
        <v>86</v>
      </c>
      <c r="B37" s="5" t="s">
        <v>75</v>
      </c>
      <c r="C37" s="5" t="s">
        <v>87</v>
      </c>
      <c r="D37" s="11">
        <v>0</v>
      </c>
      <c r="E37" s="11">
        <v>14609.87</v>
      </c>
      <c r="F37" s="11">
        <v>1907.41</v>
      </c>
      <c r="G37" s="11">
        <v>12702.46</v>
      </c>
    </row>
    <row r="38" spans="1:7" x14ac:dyDescent="0.15">
      <c r="A38" s="5" t="s">
        <v>88</v>
      </c>
      <c r="B38" s="5" t="s">
        <v>75</v>
      </c>
      <c r="C38" s="5" t="s">
        <v>89</v>
      </c>
      <c r="D38" s="11">
        <v>0</v>
      </c>
      <c r="E38" s="11">
        <v>4365.5200000000004</v>
      </c>
      <c r="F38" s="11">
        <v>84.84</v>
      </c>
      <c r="G38" s="11">
        <v>4280.68</v>
      </c>
    </row>
    <row r="39" spans="1:7" x14ac:dyDescent="0.15">
      <c r="A39" s="5" t="s">
        <v>90</v>
      </c>
      <c r="B39" s="5" t="s">
        <v>75</v>
      </c>
      <c r="C39" s="5" t="s">
        <v>91</v>
      </c>
      <c r="D39" s="11">
        <v>0</v>
      </c>
      <c r="E39" s="11">
        <v>1.4</v>
      </c>
      <c r="F39" s="11">
        <v>0</v>
      </c>
      <c r="G39" s="11">
        <v>1.4</v>
      </c>
    </row>
    <row r="40" spans="1:7" x14ac:dyDescent="0.15">
      <c r="A40" s="5" t="s">
        <v>92</v>
      </c>
      <c r="B40" s="5" t="s">
        <v>75</v>
      </c>
      <c r="C40" s="5" t="s">
        <v>93</v>
      </c>
      <c r="D40" s="11">
        <v>0</v>
      </c>
      <c r="E40" s="11">
        <v>10161</v>
      </c>
      <c r="F40" s="11">
        <v>0</v>
      </c>
      <c r="G40" s="11">
        <v>10161</v>
      </c>
    </row>
    <row r="41" spans="1:7" x14ac:dyDescent="0.15">
      <c r="A41" s="5" t="s">
        <v>94</v>
      </c>
      <c r="B41" s="5" t="s">
        <v>75</v>
      </c>
      <c r="C41" s="5" t="s">
        <v>95</v>
      </c>
      <c r="D41" s="11">
        <v>0</v>
      </c>
      <c r="E41" s="11">
        <v>726.83</v>
      </c>
      <c r="F41" s="11">
        <v>0</v>
      </c>
      <c r="G41" s="11">
        <v>726.83</v>
      </c>
    </row>
    <row r="42" spans="1:7" x14ac:dyDescent="0.15">
      <c r="A42" s="5" t="s">
        <v>96</v>
      </c>
      <c r="B42" s="5" t="s">
        <v>75</v>
      </c>
      <c r="C42" s="5" t="s">
        <v>97</v>
      </c>
      <c r="D42" s="11">
        <v>0</v>
      </c>
      <c r="E42" s="11">
        <v>0.02</v>
      </c>
      <c r="F42" s="11">
        <v>0.85</v>
      </c>
      <c r="G42" s="11">
        <v>-0.83</v>
      </c>
    </row>
    <row r="43" spans="1:7" x14ac:dyDescent="0.15">
      <c r="A43" s="5" t="s">
        <v>98</v>
      </c>
      <c r="B43" s="5" t="s">
        <v>75</v>
      </c>
      <c r="C43" s="5" t="s">
        <v>99</v>
      </c>
      <c r="D43" s="11">
        <v>0</v>
      </c>
      <c r="E43" s="11">
        <v>0.03</v>
      </c>
      <c r="F43" s="11">
        <v>0.03</v>
      </c>
      <c r="G43" s="11">
        <v>0</v>
      </c>
    </row>
    <row r="44" spans="1:7" x14ac:dyDescent="0.15">
      <c r="A44" s="5" t="s">
        <v>100</v>
      </c>
      <c r="B44" s="5" t="s">
        <v>75</v>
      </c>
      <c r="C44" s="5" t="s">
        <v>101</v>
      </c>
      <c r="D44" s="11">
        <v>0</v>
      </c>
      <c r="E44" s="11">
        <v>1.83</v>
      </c>
      <c r="F44" s="11">
        <v>0</v>
      </c>
      <c r="G44" s="11">
        <v>1.83</v>
      </c>
    </row>
    <row r="45" spans="1:7" x14ac:dyDescent="0.15">
      <c r="A45" s="5" t="s">
        <v>102</v>
      </c>
      <c r="B45" s="5" t="s">
        <v>75</v>
      </c>
      <c r="C45" s="5" t="s">
        <v>103</v>
      </c>
      <c r="D45" s="11">
        <v>0</v>
      </c>
      <c r="E45" s="11">
        <v>116.09</v>
      </c>
      <c r="F45" s="11">
        <v>0</v>
      </c>
      <c r="G45" s="11">
        <v>116.09</v>
      </c>
    </row>
    <row r="46" spans="1:7" x14ac:dyDescent="0.15">
      <c r="A46" s="5" t="s">
        <v>104</v>
      </c>
      <c r="B46" s="5" t="s">
        <v>75</v>
      </c>
      <c r="C46" s="5" t="s">
        <v>105</v>
      </c>
      <c r="D46" s="11">
        <v>0</v>
      </c>
      <c r="E46" s="11">
        <v>741.24</v>
      </c>
      <c r="F46" s="11">
        <v>0.95</v>
      </c>
      <c r="G46" s="11">
        <v>740.29</v>
      </c>
    </row>
    <row r="47" spans="1:7" x14ac:dyDescent="0.15">
      <c r="A47" s="4"/>
      <c r="B47" s="4"/>
      <c r="C47" s="12" t="s">
        <v>106</v>
      </c>
      <c r="D47" s="13">
        <v>-1.0732037480920601E-9</v>
      </c>
      <c r="E47" s="13">
        <v>571614.570000001</v>
      </c>
      <c r="F47" s="13">
        <v>571614.56999999995</v>
      </c>
      <c r="G47" s="13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445afc7-8147-48fd-9212-af8008ee1f68}" enabled="1" method="Standard" siteId="{77920909-8782-4efb-aaf1-44ac114d7c0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 Meijer</cp:lastModifiedBy>
  <dcterms:created xsi:type="dcterms:W3CDTF">2026-04-22T06:03:32Z</dcterms:created>
  <dcterms:modified xsi:type="dcterms:W3CDTF">2026-04-22T09:56:18Z</dcterms:modified>
</cp:coreProperties>
</file>