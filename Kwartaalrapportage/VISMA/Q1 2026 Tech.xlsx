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gf-my.sharepoint.com/personal/tom_meijer_theglobalfund_org/Documents/Documents/Temp/Blueplates/Rapportage/Q1 2026/VISMA/"/>
    </mc:Choice>
  </mc:AlternateContent>
  <xr:revisionPtr revIDLastSave="3" documentId="11_31CB829202D80C5747D2C041DE2459E2EF6E276A" xr6:coauthVersionLast="47" xr6:coauthVersionMax="47" xr10:uidLastSave="{2A69F2C8-38D9-0846-A9F2-2E83F748E299}"/>
  <bookViews>
    <workbookView xWindow="-3840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 l="1"/>
</calcChain>
</file>

<file path=xl/sharedStrings.xml><?xml version="1.0" encoding="utf-8"?>
<sst xmlns="http://schemas.openxmlformats.org/spreadsheetml/2006/main" count="156" uniqueCount="114">
  <si>
    <t>Organisatie:</t>
  </si>
  <si>
    <t>OOY TECH B.V.</t>
  </si>
  <si>
    <t>Periode:</t>
  </si>
  <si>
    <t>Datum:</t>
  </si>
  <si>
    <t>Pagina:</t>
  </si>
  <si>
    <t>Gebruiker:</t>
  </si>
  <si>
    <t>1 van 2</t>
  </si>
  <si>
    <t>Tom Meijer</t>
  </si>
  <si>
    <t>01-2026 - 03-2026</t>
  </si>
  <si>
    <t>Grootboek</t>
  </si>
  <si>
    <t>Grootboek:</t>
  </si>
  <si>
    <t>0000-9999</t>
  </si>
  <si>
    <t>Rekeningen:</t>
  </si>
  <si>
    <t>Proefbalans (overzicht)</t>
  </si>
  <si>
    <t/>
  </si>
  <si>
    <t>Eindsaldo</t>
  </si>
  <si>
    <t>Credit</t>
  </si>
  <si>
    <t>Debet</t>
  </si>
  <si>
    <t>Beginsaldo</t>
  </si>
  <si>
    <t>Omschrijving</t>
  </si>
  <si>
    <t>Rekening</t>
  </si>
  <si>
    <t>Soort</t>
  </si>
  <si>
    <t>025000</t>
  </si>
  <si>
    <t>Inventaris</t>
  </si>
  <si>
    <t>A</t>
  </si>
  <si>
    <t>025010</t>
  </si>
  <si>
    <t>Inventaris -afschrijvingen</t>
  </si>
  <si>
    <t>025300</t>
  </si>
  <si>
    <t>Computers</t>
  </si>
  <si>
    <t>025310</t>
  </si>
  <si>
    <t>Computers -afschrijvingen</t>
  </si>
  <si>
    <t>100301</t>
  </si>
  <si>
    <t>RABO 869 - OOY Tech</t>
  </si>
  <si>
    <t>119000</t>
  </si>
  <si>
    <t>Kruisposten algemeen</t>
  </si>
  <si>
    <t>132000</t>
  </si>
  <si>
    <t>Debiteuren</t>
  </si>
  <si>
    <t>173200</t>
  </si>
  <si>
    <t>BTW te vorderen laag</t>
  </si>
  <si>
    <t>176901</t>
  </si>
  <si>
    <t>BTW 2025</t>
  </si>
  <si>
    <t>049000</t>
  </si>
  <si>
    <t>Borgsommen</t>
  </si>
  <si>
    <t>L</t>
  </si>
  <si>
    <t>050000</t>
  </si>
  <si>
    <t>Aandelenkapitaal</t>
  </si>
  <si>
    <t>054000</t>
  </si>
  <si>
    <t>Winstreserves</t>
  </si>
  <si>
    <t>054020</t>
  </si>
  <si>
    <t>Resultaat huidig jaar</t>
  </si>
  <si>
    <t>083000</t>
  </si>
  <si>
    <t>Onderhandse lening OOY holding</t>
  </si>
  <si>
    <t>142090</t>
  </si>
  <si>
    <t>Overlopende Activa</t>
  </si>
  <si>
    <t>149100</t>
  </si>
  <si>
    <t>R/c OOY Holding B.V.</t>
  </si>
  <si>
    <t>149200</t>
  </si>
  <si>
    <t>R/c OOY Group Holding</t>
  </si>
  <si>
    <t>149400</t>
  </si>
  <si>
    <t>R/c OOY Mobility</t>
  </si>
  <si>
    <t>149500</t>
  </si>
  <si>
    <t>R/c OOY Vehicies</t>
  </si>
  <si>
    <t>153000</t>
  </si>
  <si>
    <t>Crediteuren</t>
  </si>
  <si>
    <t>171000</t>
  </si>
  <si>
    <t>Vennootschapsbelasting (VPB)</t>
  </si>
  <si>
    <t>172100</t>
  </si>
  <si>
    <t>BTW verkopen hoog -af te dragen</t>
  </si>
  <si>
    <t>173100</t>
  </si>
  <si>
    <t>BTW voorbelastingen/uitgaven</t>
  </si>
  <si>
    <t>176000</t>
  </si>
  <si>
    <t>Betaalde/ontvangen BTW</t>
  </si>
  <si>
    <t>177000</t>
  </si>
  <si>
    <t>Loonheffing</t>
  </si>
  <si>
    <t>201000</t>
  </si>
  <si>
    <t>Te betalen netto loon</t>
  </si>
  <si>
    <t>221100</t>
  </si>
  <si>
    <t>Vraagposten</t>
  </si>
  <si>
    <t>234000</t>
  </si>
  <si>
    <t>Te betalen vakantiegelden</t>
  </si>
  <si>
    <t>Omzet algemeen 21%</t>
  </si>
  <si>
    <t>I</t>
  </si>
  <si>
    <t>400101</t>
  </si>
  <si>
    <t>Bruto lonen</t>
  </si>
  <si>
    <t>E</t>
  </si>
  <si>
    <t>400106</t>
  </si>
  <si>
    <t>Reservering vakantiegeld</t>
  </si>
  <si>
    <t>400201</t>
  </si>
  <si>
    <t>Werkgeversdeel sociale lasten</t>
  </si>
  <si>
    <t>402302</t>
  </si>
  <si>
    <t>ReisKostenvergoeding</t>
  </si>
  <si>
    <t>402900</t>
  </si>
  <si>
    <t>Overige personeelsKosten</t>
  </si>
  <si>
    <t>434100</t>
  </si>
  <si>
    <t>Kleine inventaris</t>
  </si>
  <si>
    <t>442000</t>
  </si>
  <si>
    <t>OnderhoudsKosten auto</t>
  </si>
  <si>
    <t>465200</t>
  </si>
  <si>
    <t>Reis- en verblijfkosten</t>
  </si>
  <si>
    <t>475000</t>
  </si>
  <si>
    <t>Computer &amp; software Kosten</t>
  </si>
  <si>
    <t>476000</t>
  </si>
  <si>
    <t>Accountant- administratieKosten</t>
  </si>
  <si>
    <t>481000</t>
  </si>
  <si>
    <t>Contributies en abonnementen</t>
  </si>
  <si>
    <t>486400</t>
  </si>
  <si>
    <t>Afrondingsverschillen</t>
  </si>
  <si>
    <t>641000</t>
  </si>
  <si>
    <t>Betaalde rente</t>
  </si>
  <si>
    <t>641100</t>
  </si>
  <si>
    <t>BankKosten</t>
  </si>
  <si>
    <t>710000</t>
  </si>
  <si>
    <t>Inkopen</t>
  </si>
  <si>
    <t>Totaal: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</si>
</sst>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\ hh:mm"/>
    <numFmt numFmtId="165" formatCode="#,##0.00;[Red]\-#,##0.00"/>
  </numFmts>
  <fonts count="7" x14ac:knownFonts="1">
    <font>
      <sz val="9"/>
      <name val="Tahoma"/>
    </font>
    <font>
      <sz val="8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rgb="FFFF0000"/>
      <name val="Tahoma"/>
      <family val="2"/>
    </font>
    <font>
      <b/>
      <sz val="8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46">
    <xf numFmtId="0" fontId="0" fillId="0" borderId="0" applyAlignment="0"/>
    <xf numFmtId="0" fontId="6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2" fillId="2" borderId="1">
      <alignment horizontal="right" vertical="top"/>
    </xf>
    <xf numFmtId="0" fontId="2" fillId="2" borderId="1">
      <alignment horizontal="righ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4" fillId="2" borderId="1" applyAlignment="0"/>
    <xf numFmtId="0" fontId="4" fillId="2" borderId="1">
      <alignment horizontal="left" vertical="top"/>
    </xf>
    <xf numFmtId="0" fontId="4" fillId="2" borderId="1">
      <alignment horizontal="left" vertical="top"/>
    </xf>
    <xf numFmtId="0" fontId="5" fillId="2" borderId="1" applyAlignment="0"/>
    <xf numFmtId="0" fontId="5" fillId="2" borderId="1">
      <alignment horizontal="right" vertical="top"/>
    </xf>
    <xf numFmtId="0" fontId="5" fillId="2" borderId="1">
      <alignment horizontal="right" vertical="top"/>
    </xf>
    <xf numFmtId="0" fontId="5" fillId="2" borderId="1">
      <alignment horizontal="left" vertical="top"/>
    </xf>
    <xf numFmtId="0" fontId="5" fillId="2" borderId="1">
      <alignment horizontal="left" vertical="top"/>
    </xf>
    <xf numFmtId="0" fontId="5" fillId="2" borderId="2">
      <alignment horizontal="left" vertical="top"/>
    </xf>
    <xf numFmtId="0" fontId="5" fillId="2" borderId="2">
      <alignment horizontal="right" vertical="top"/>
    </xf>
    <xf numFmtId="0" fontId="5" fillId="2" borderId="3">
      <alignment horizontal="left" vertical="top"/>
    </xf>
    <xf numFmtId="0" fontId="5" fillId="2" borderId="3">
      <alignment horizontal="right" vertical="top"/>
    </xf>
    <xf numFmtId="0" fontId="5" fillId="3" borderId="3">
      <alignment horizontal="left" vertical="top"/>
    </xf>
    <xf numFmtId="0" fontId="5" fillId="3" borderId="3">
      <alignment horizontal="right" vertical="top"/>
    </xf>
    <xf numFmtId="165" fontId="1" fillId="2" borderId="1">
      <alignment horizontal="right" vertical="top"/>
    </xf>
    <xf numFmtId="0" fontId="6" fillId="0" borderId="4"/>
    <xf numFmtId="0" fontId="5" fillId="4" borderId="4">
      <alignment horizontal="left" vertical="top"/>
    </xf>
    <xf numFmtId="165" fontId="5" fillId="2" borderId="1">
      <alignment horizontal="right" vertical="top"/>
    </xf>
    <xf numFmtId="165" fontId="5" fillId="4" borderId="4">
      <alignment horizontal="right" vertical="top"/>
    </xf>
    <xf numFmtId="0" fontId="3" fillId="5" borderId="1">
      <alignment horizontal="left" vertical="top"/>
    </xf>
    <xf numFmtId="0" fontId="6" fillId="5" borderId="0"/>
    <xf numFmtId="0" fontId="1" fillId="5" borderId="1">
      <alignment horizontal="left" vertical="top"/>
    </xf>
    <xf numFmtId="0" fontId="1" fillId="5" borderId="1">
      <alignment horizontal="right" vertical="top"/>
    </xf>
    <xf numFmtId="0" fontId="2" fillId="5" borderId="1">
      <alignment horizontal="left" vertical="top"/>
    </xf>
    <xf numFmtId="164" fontId="1" fillId="5" borderId="1">
      <alignment horizontal="right" vertical="top"/>
    </xf>
    <xf numFmtId="0" fontId="2" fillId="5" borderId="1">
      <alignment horizontal="right" vertical="top"/>
    </xf>
    <xf numFmtId="0" fontId="4" fillId="5" borderId="1">
      <alignment horizontal="left" vertical="top"/>
    </xf>
    <xf numFmtId="165" fontId="1" fillId="5" borderId="1">
      <alignment horizontal="right" vertical="top"/>
    </xf>
    <xf numFmtId="0" fontId="5" fillId="5" borderId="4">
      <alignment horizontal="left" vertical="top"/>
    </xf>
    <xf numFmtId="165" fontId="5" fillId="5" borderId="4">
      <alignment horizontal="right" vertical="top"/>
    </xf>
  </cellStyleXfs>
  <cellXfs count="16">
    <xf numFmtId="0" fontId="0" fillId="0" borderId="0" xfId="0"/>
    <xf numFmtId="0" fontId="5" fillId="3" borderId="3" xfId="28">
      <alignment horizontal="left" vertical="top"/>
    </xf>
    <xf numFmtId="0" fontId="5" fillId="3" borderId="3" xfId="29">
      <alignment horizontal="right" vertical="top"/>
    </xf>
    <xf numFmtId="0" fontId="3" fillId="5" borderId="1" xfId="35">
      <alignment horizontal="left" vertical="top"/>
    </xf>
    <xf numFmtId="0" fontId="6" fillId="5" borderId="0" xfId="36"/>
    <xf numFmtId="0" fontId="1" fillId="5" borderId="1" xfId="37">
      <alignment horizontal="left" vertical="top"/>
    </xf>
    <xf numFmtId="0" fontId="1" fillId="5" borderId="1" xfId="38">
      <alignment horizontal="right" vertical="top"/>
    </xf>
    <xf numFmtId="0" fontId="2" fillId="5" borderId="1" xfId="39">
      <alignment horizontal="left" vertical="top"/>
    </xf>
    <xf numFmtId="164" fontId="1" fillId="5" borderId="1" xfId="40">
      <alignment horizontal="right" vertical="top"/>
    </xf>
    <xf numFmtId="0" fontId="2" fillId="5" borderId="1" xfId="41">
      <alignment horizontal="right" vertical="top"/>
    </xf>
    <xf numFmtId="0" fontId="4" fillId="5" borderId="1" xfId="42">
      <alignment horizontal="left" vertical="top"/>
    </xf>
    <xf numFmtId="165" fontId="1" fillId="5" borderId="1" xfId="43">
      <alignment horizontal="right" vertical="top"/>
    </xf>
    <xf numFmtId="0" fontId="5" fillId="5" borderId="4" xfId="44">
      <alignment horizontal="left" vertical="top"/>
    </xf>
    <xf numFmtId="165" fontId="5" fillId="5" borderId="4" xfId="45">
      <alignment horizontal="right" vertical="top"/>
    </xf>
    <xf numFmtId="0" fontId="6" fillId="0" borderId="0" xfId="0" applyFont="1"/>
    <xf numFmtId="3" fontId="0" fillId="0" borderId="0" xfId="0" applyNumberFormat="1"/>
  </cellXfs>
  <cellStyles count="46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35" xfId="35" xr:uid="{00000000-0005-0000-0000-000023000000}"/>
    <cellStyle name="Style 36" xfId="36" xr:uid="{00000000-0005-0000-0000-000024000000}"/>
    <cellStyle name="Style 37" xfId="37" xr:uid="{00000000-0005-0000-0000-000025000000}"/>
    <cellStyle name="Style 38" xfId="38" xr:uid="{00000000-0005-0000-0000-000026000000}"/>
    <cellStyle name="Style 39" xfId="39" xr:uid="{00000000-0005-0000-0000-000027000000}"/>
    <cellStyle name="Style 4" xfId="4" xr:uid="{00000000-0005-0000-0000-000004000000}"/>
    <cellStyle name="Style 40" xfId="40" xr:uid="{00000000-0005-0000-0000-000028000000}"/>
    <cellStyle name="Style 41" xfId="41" xr:uid="{00000000-0005-0000-0000-000029000000}"/>
    <cellStyle name="Style 42" xfId="42" xr:uid="{00000000-0005-0000-0000-00002A000000}"/>
    <cellStyle name="Style 43" xfId="43" xr:uid="{00000000-0005-0000-0000-00002B000000}"/>
    <cellStyle name="Style 44" xfId="44" xr:uid="{00000000-0005-0000-0000-00002C000000}"/>
    <cellStyle name="Style 45" xfId="45" xr:uid="{00000000-0005-0000-0000-00002D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G13" sqref="G13"/>
    </sheetView>
  </sheetViews>
  <sheetFormatPr baseColWidth="10" defaultRowHeight="16" x14ac:dyDescent="0.15"/>
  <cols>
    <col min="1" max="1" width="16" customWidth="1"/>
    <col min="2" max="2" width="6" customWidth="1"/>
    <col min="3" max="3" width="65" customWidth="1"/>
    <col min="4" max="4" width="20" customWidth="1"/>
    <col min="5" max="6" width="21" customWidth="1"/>
    <col min="7" max="7" width="20" customWidth="1"/>
  </cols>
  <sheetData>
    <row r="1" spans="1:11" ht="12" x14ac:dyDescent="0.15">
      <c r="A1" s="3" t="s">
        <v>13</v>
      </c>
      <c r="B1" s="4"/>
      <c r="C1" s="4"/>
      <c r="D1" s="4"/>
      <c r="E1" s="4"/>
      <c r="F1" s="5" t="s">
        <v>4</v>
      </c>
      <c r="G1" s="6" t="s">
        <v>6</v>
      </c>
    </row>
    <row r="2" spans="1:11" ht="12" x14ac:dyDescent="0.15">
      <c r="A2" s="5" t="s">
        <v>0</v>
      </c>
      <c r="B2" s="5" t="s">
        <v>1</v>
      </c>
      <c r="C2" s="4"/>
      <c r="D2" s="5" t="s">
        <v>10</v>
      </c>
      <c r="E2" s="7" t="s">
        <v>9</v>
      </c>
      <c r="F2" s="5" t="s">
        <v>3</v>
      </c>
      <c r="G2" s="8">
        <v>46134.252230421102</v>
      </c>
    </row>
    <row r="3" spans="1:11" ht="12" x14ac:dyDescent="0.15">
      <c r="A3" s="5" t="s">
        <v>5</v>
      </c>
      <c r="B3" s="5" t="s">
        <v>7</v>
      </c>
      <c r="C3" s="4"/>
      <c r="D3" s="5" t="s">
        <v>2</v>
      </c>
      <c r="E3" s="5" t="s">
        <v>8</v>
      </c>
      <c r="F3" s="5" t="s">
        <v>12</v>
      </c>
      <c r="G3" s="9" t="s">
        <v>11</v>
      </c>
    </row>
    <row r="4" spans="1:11" ht="12" x14ac:dyDescent="0.15">
      <c r="A4" s="4"/>
      <c r="B4" s="4"/>
      <c r="C4" s="4"/>
      <c r="D4" s="10" t="s">
        <v>14</v>
      </c>
      <c r="E4" s="4"/>
      <c r="F4" s="4"/>
      <c r="G4" s="4"/>
    </row>
    <row r="5" spans="1:11" ht="12" x14ac:dyDescent="0.15">
      <c r="A5" s="4"/>
      <c r="B5" s="4"/>
      <c r="C5" s="4"/>
      <c r="D5" s="4"/>
      <c r="E5" s="4"/>
      <c r="F5" s="4"/>
      <c r="G5" s="4"/>
    </row>
    <row r="6" spans="1:11" ht="12" x14ac:dyDescent="0.15">
      <c r="A6" s="1" t="s">
        <v>20</v>
      </c>
      <c r="B6" s="1" t="s">
        <v>21</v>
      </c>
      <c r="C6" s="1" t="s">
        <v>19</v>
      </c>
      <c r="D6" s="2" t="s">
        <v>18</v>
      </c>
      <c r="E6" s="2" t="s">
        <v>17</v>
      </c>
      <c r="F6" s="2" t="s">
        <v>16</v>
      </c>
      <c r="G6" s="2" t="s">
        <v>15</v>
      </c>
    </row>
    <row r="7" spans="1:11" ht="12" x14ac:dyDescent="0.15">
      <c r="A7" s="5" t="s">
        <v>22</v>
      </c>
      <c r="B7" s="5" t="s">
        <v>24</v>
      </c>
      <c r="C7" s="5" t="s">
        <v>23</v>
      </c>
      <c r="D7" s="11">
        <v>6578.82</v>
      </c>
      <c r="E7" s="11">
        <v>0</v>
      </c>
      <c r="F7" s="11">
        <v>0</v>
      </c>
      <c r="G7" s="11">
        <v>6578.82</v>
      </c>
      <c r="J7" s="14" t="s">
        <v>24</v>
      </c>
      <c r="K7" s="15">
        <f>SUMIFS(G:G,B:B,"A")</f>
        <v>71705.76999999999</v>
      </c>
    </row>
    <row r="8" spans="1:11" ht="12" x14ac:dyDescent="0.15">
      <c r="A8" s="5" t="s">
        <v>25</v>
      </c>
      <c r="B8" s="5" t="s">
        <v>24</v>
      </c>
      <c r="C8" s="5" t="s">
        <v>26</v>
      </c>
      <c r="D8" s="11">
        <v>-8301.15</v>
      </c>
      <c r="E8" s="11">
        <v>0</v>
      </c>
      <c r="F8" s="11">
        <v>0</v>
      </c>
      <c r="G8" s="11">
        <v>-8301.15</v>
      </c>
      <c r="J8" s="14" t="s">
        <v>43</v>
      </c>
      <c r="K8" s="15">
        <f>SUMIFS(G:G,B:B,"L")</f>
        <v>-102962.75999999998</v>
      </c>
    </row>
    <row r="9" spans="1:11" ht="12" x14ac:dyDescent="0.15">
      <c r="A9" s="5" t="s">
        <v>27</v>
      </c>
      <c r="B9" s="5" t="s">
        <v>24</v>
      </c>
      <c r="C9" s="5" t="s">
        <v>28</v>
      </c>
      <c r="D9" s="11">
        <v>38868</v>
      </c>
      <c r="E9" s="11">
        <v>0</v>
      </c>
      <c r="F9" s="11">
        <v>0</v>
      </c>
      <c r="G9" s="11">
        <v>38868</v>
      </c>
    </row>
    <row r="10" spans="1:11" ht="12" x14ac:dyDescent="0.15">
      <c r="A10" s="5" t="s">
        <v>29</v>
      </c>
      <c r="B10" s="5" t="s">
        <v>24</v>
      </c>
      <c r="C10" s="5" t="s">
        <v>30</v>
      </c>
      <c r="D10" s="11">
        <v>-7068.08</v>
      </c>
      <c r="E10" s="11">
        <v>0</v>
      </c>
      <c r="F10" s="11">
        <v>0</v>
      </c>
      <c r="G10" s="11">
        <v>-7068.08</v>
      </c>
    </row>
    <row r="11" spans="1:11" ht="12" x14ac:dyDescent="0.15">
      <c r="A11" s="5" t="s">
        <v>31</v>
      </c>
      <c r="B11" s="5" t="s">
        <v>24</v>
      </c>
      <c r="C11" s="5" t="s">
        <v>32</v>
      </c>
      <c r="D11" s="11">
        <v>348.76</v>
      </c>
      <c r="E11" s="11">
        <v>49486.98</v>
      </c>
      <c r="F11" s="11">
        <v>47615.72</v>
      </c>
      <c r="G11" s="11">
        <v>2220.02</v>
      </c>
    </row>
    <row r="12" spans="1:11" ht="12" x14ac:dyDescent="0.15">
      <c r="A12" s="5" t="s">
        <v>33</v>
      </c>
      <c r="B12" s="5" t="s">
        <v>24</v>
      </c>
      <c r="C12" s="5" t="s">
        <v>34</v>
      </c>
      <c r="D12" s="11">
        <v>0</v>
      </c>
      <c r="E12" s="11">
        <v>399.95</v>
      </c>
      <c r="F12" s="11">
        <v>399.95</v>
      </c>
      <c r="G12" s="11">
        <v>0</v>
      </c>
    </row>
    <row r="13" spans="1:11" ht="12" x14ac:dyDescent="0.15">
      <c r="A13" s="5" t="s">
        <v>35</v>
      </c>
      <c r="B13" s="5" t="s">
        <v>24</v>
      </c>
      <c r="C13" s="5" t="s">
        <v>36</v>
      </c>
      <c r="D13" s="11">
        <v>34872.089999999997</v>
      </c>
      <c r="E13" s="11">
        <v>5948.44</v>
      </c>
      <c r="F13" s="11">
        <v>0</v>
      </c>
      <c r="G13" s="11">
        <v>40820.53</v>
      </c>
    </row>
    <row r="14" spans="1:11" ht="12" x14ac:dyDescent="0.15">
      <c r="A14" s="5" t="s">
        <v>37</v>
      </c>
      <c r="B14" s="5" t="s">
        <v>24</v>
      </c>
      <c r="C14" s="5" t="s">
        <v>38</v>
      </c>
      <c r="D14" s="11">
        <v>0</v>
      </c>
      <c r="E14" s="11">
        <v>67.34</v>
      </c>
      <c r="F14" s="11">
        <v>0</v>
      </c>
      <c r="G14" s="11">
        <v>67.34</v>
      </c>
    </row>
    <row r="15" spans="1:11" ht="12" x14ac:dyDescent="0.15">
      <c r="A15" s="5" t="s">
        <v>39</v>
      </c>
      <c r="B15" s="5" t="s">
        <v>24</v>
      </c>
      <c r="C15" s="5" t="s">
        <v>40</v>
      </c>
      <c r="D15" s="11">
        <v>0</v>
      </c>
      <c r="E15" s="11">
        <v>0</v>
      </c>
      <c r="F15" s="11">
        <v>1479.71</v>
      </c>
      <c r="G15" s="11">
        <v>-1479.71</v>
      </c>
    </row>
    <row r="16" spans="1:11" ht="12" x14ac:dyDescent="0.15">
      <c r="A16" s="5" t="s">
        <v>41</v>
      </c>
      <c r="B16" s="5" t="s">
        <v>43</v>
      </c>
      <c r="C16" s="5" t="s">
        <v>42</v>
      </c>
      <c r="D16" s="11">
        <v>-500</v>
      </c>
      <c r="E16" s="11">
        <v>0</v>
      </c>
      <c r="F16" s="11">
        <v>0</v>
      </c>
      <c r="G16" s="11">
        <v>-500</v>
      </c>
    </row>
    <row r="17" spans="1:7" ht="12" x14ac:dyDescent="0.15">
      <c r="A17" s="5" t="s">
        <v>44</v>
      </c>
      <c r="B17" s="5" t="s">
        <v>43</v>
      </c>
      <c r="C17" s="5" t="s">
        <v>45</v>
      </c>
      <c r="D17" s="11">
        <v>-12</v>
      </c>
      <c r="E17" s="11">
        <v>0</v>
      </c>
      <c r="F17" s="11">
        <v>0</v>
      </c>
      <c r="G17" s="11">
        <v>-12</v>
      </c>
    </row>
    <row r="18" spans="1:7" ht="12" x14ac:dyDescent="0.15">
      <c r="A18" s="5" t="s">
        <v>46</v>
      </c>
      <c r="B18" s="5" t="s">
        <v>43</v>
      </c>
      <c r="C18" s="5" t="s">
        <v>47</v>
      </c>
      <c r="D18" s="11">
        <v>126011.32</v>
      </c>
      <c r="E18" s="11">
        <v>0</v>
      </c>
      <c r="F18" s="11">
        <v>0</v>
      </c>
      <c r="G18" s="11">
        <v>126011.32</v>
      </c>
    </row>
    <row r="19" spans="1:7" ht="12" x14ac:dyDescent="0.15">
      <c r="A19" s="5" t="s">
        <v>48</v>
      </c>
      <c r="B19" s="5" t="s">
        <v>43</v>
      </c>
      <c r="C19" s="5" t="s">
        <v>49</v>
      </c>
      <c r="D19" s="11">
        <v>203713.75</v>
      </c>
      <c r="E19" s="11">
        <v>0</v>
      </c>
      <c r="F19" s="11">
        <v>0</v>
      </c>
      <c r="G19" s="11">
        <v>203713.75</v>
      </c>
    </row>
    <row r="20" spans="1:7" ht="12" x14ac:dyDescent="0.15">
      <c r="A20" s="5" t="s">
        <v>50</v>
      </c>
      <c r="B20" s="5" t="s">
        <v>43</v>
      </c>
      <c r="C20" s="5" t="s">
        <v>51</v>
      </c>
      <c r="D20" s="11">
        <v>-46195.68</v>
      </c>
      <c r="E20" s="11">
        <v>0</v>
      </c>
      <c r="F20" s="11">
        <v>0</v>
      </c>
      <c r="G20" s="11">
        <v>-46195.68</v>
      </c>
    </row>
    <row r="21" spans="1:7" ht="12" x14ac:dyDescent="0.15">
      <c r="A21" s="5" t="s">
        <v>52</v>
      </c>
      <c r="B21" s="5" t="s">
        <v>43</v>
      </c>
      <c r="C21" s="5" t="s">
        <v>53</v>
      </c>
      <c r="D21" s="11">
        <v>500</v>
      </c>
      <c r="E21" s="11">
        <v>0</v>
      </c>
      <c r="F21" s="11">
        <v>0</v>
      </c>
      <c r="G21" s="11">
        <v>500</v>
      </c>
    </row>
    <row r="22" spans="1:7" ht="12" x14ac:dyDescent="0.15">
      <c r="A22" s="5" t="s">
        <v>54</v>
      </c>
      <c r="B22" s="5" t="s">
        <v>43</v>
      </c>
      <c r="C22" s="5" t="s">
        <v>55</v>
      </c>
      <c r="D22" s="11">
        <v>-250</v>
      </c>
      <c r="E22" s="11">
        <v>0</v>
      </c>
      <c r="F22" s="11">
        <v>0</v>
      </c>
      <c r="G22" s="11">
        <v>-250</v>
      </c>
    </row>
    <row r="23" spans="1:7" ht="12" x14ac:dyDescent="0.15">
      <c r="A23" s="5" t="s">
        <v>56</v>
      </c>
      <c r="B23" s="5" t="s">
        <v>43</v>
      </c>
      <c r="C23" s="5" t="s">
        <v>57</v>
      </c>
      <c r="D23" s="11">
        <v>-174274.29</v>
      </c>
      <c r="E23" s="11">
        <v>0</v>
      </c>
      <c r="F23" s="11">
        <v>500</v>
      </c>
      <c r="G23" s="11">
        <v>-174774.29</v>
      </c>
    </row>
    <row r="24" spans="1:7" ht="12" x14ac:dyDescent="0.15">
      <c r="A24" s="5" t="s">
        <v>58</v>
      </c>
      <c r="B24" s="5" t="s">
        <v>43</v>
      </c>
      <c r="C24" s="5" t="s">
        <v>59</v>
      </c>
      <c r="D24" s="11">
        <v>-87117.91</v>
      </c>
      <c r="E24" s="11">
        <v>0</v>
      </c>
      <c r="F24" s="11">
        <v>48450</v>
      </c>
      <c r="G24" s="11">
        <v>-135567.91</v>
      </c>
    </row>
    <row r="25" spans="1:7" ht="12" x14ac:dyDescent="0.15">
      <c r="A25" s="5" t="s">
        <v>60</v>
      </c>
      <c r="B25" s="5" t="s">
        <v>43</v>
      </c>
      <c r="C25" s="5" t="s">
        <v>61</v>
      </c>
      <c r="D25" s="11">
        <v>-71659.710000000006</v>
      </c>
      <c r="E25" s="11">
        <v>0</v>
      </c>
      <c r="F25" s="11">
        <v>0</v>
      </c>
      <c r="G25" s="11">
        <v>-71659.710000000006</v>
      </c>
    </row>
    <row r="26" spans="1:7" ht="12" x14ac:dyDescent="0.15">
      <c r="A26" s="5" t="s">
        <v>62</v>
      </c>
      <c r="B26" s="5" t="s">
        <v>43</v>
      </c>
      <c r="C26" s="5" t="s">
        <v>63</v>
      </c>
      <c r="D26" s="11">
        <v>-11029.18</v>
      </c>
      <c r="E26" s="11">
        <v>6106.71</v>
      </c>
      <c r="F26" s="11">
        <v>14161.54</v>
      </c>
      <c r="G26" s="11">
        <v>-19084.009999999998</v>
      </c>
    </row>
    <row r="27" spans="1:7" ht="12" x14ac:dyDescent="0.15">
      <c r="A27" s="5" t="s">
        <v>64</v>
      </c>
      <c r="B27" s="5" t="s">
        <v>43</v>
      </c>
      <c r="C27" s="5" t="s">
        <v>65</v>
      </c>
      <c r="D27" s="11">
        <v>16329.55</v>
      </c>
      <c r="E27" s="11">
        <v>0</v>
      </c>
      <c r="F27" s="11">
        <v>0</v>
      </c>
      <c r="G27" s="11">
        <v>16329.55</v>
      </c>
    </row>
    <row r="28" spans="1:7" ht="12" x14ac:dyDescent="0.15">
      <c r="A28" s="5" t="s">
        <v>66</v>
      </c>
      <c r="B28" s="5" t="s">
        <v>43</v>
      </c>
      <c r="C28" s="5" t="s">
        <v>67</v>
      </c>
      <c r="D28" s="11">
        <v>-6052.04</v>
      </c>
      <c r="E28" s="11">
        <v>6052.04</v>
      </c>
      <c r="F28" s="11">
        <v>1032.18</v>
      </c>
      <c r="G28" s="11">
        <v>-1032.18</v>
      </c>
    </row>
    <row r="29" spans="1:7" ht="12" x14ac:dyDescent="0.15">
      <c r="A29" s="5" t="s">
        <v>68</v>
      </c>
      <c r="B29" s="5" t="s">
        <v>43</v>
      </c>
      <c r="C29" s="5" t="s">
        <v>69</v>
      </c>
      <c r="D29" s="11">
        <v>4759.7299999999996</v>
      </c>
      <c r="E29" s="11">
        <v>1599.26</v>
      </c>
      <c r="F29" s="11">
        <v>4776.91</v>
      </c>
      <c r="G29" s="11">
        <v>1582.08</v>
      </c>
    </row>
    <row r="30" spans="1:7" ht="12" x14ac:dyDescent="0.15">
      <c r="A30" s="5" t="s">
        <v>70</v>
      </c>
      <c r="B30" s="5" t="s">
        <v>43</v>
      </c>
      <c r="C30" s="5" t="s">
        <v>71</v>
      </c>
      <c r="D30" s="11">
        <v>-204.58</v>
      </c>
      <c r="E30" s="11">
        <v>204.58</v>
      </c>
      <c r="F30" s="11">
        <v>0</v>
      </c>
      <c r="G30" s="11">
        <v>0</v>
      </c>
    </row>
    <row r="31" spans="1:7" ht="12" x14ac:dyDescent="0.15">
      <c r="A31" s="5" t="s">
        <v>72</v>
      </c>
      <c r="B31" s="5" t="s">
        <v>43</v>
      </c>
      <c r="C31" s="5" t="s">
        <v>73</v>
      </c>
      <c r="D31" s="11">
        <v>-35612.22</v>
      </c>
      <c r="E31" s="11">
        <v>7472</v>
      </c>
      <c r="F31" s="11">
        <v>14944</v>
      </c>
      <c r="G31" s="11">
        <v>-43084.22</v>
      </c>
    </row>
    <row r="32" spans="1:7" ht="12" x14ac:dyDescent="0.15">
      <c r="A32" s="5" t="s">
        <v>74</v>
      </c>
      <c r="B32" s="5" t="s">
        <v>43</v>
      </c>
      <c r="C32" s="5" t="s">
        <v>75</v>
      </c>
      <c r="D32" s="11">
        <v>23122.04</v>
      </c>
      <c r="E32" s="11">
        <v>57131.82</v>
      </c>
      <c r="F32" s="11">
        <v>32328.48</v>
      </c>
      <c r="G32" s="11">
        <v>47925.38</v>
      </c>
    </row>
    <row r="33" spans="1:7" ht="12" x14ac:dyDescent="0.15">
      <c r="A33" s="5" t="s">
        <v>76</v>
      </c>
      <c r="B33" s="5" t="s">
        <v>43</v>
      </c>
      <c r="C33" s="5" t="s">
        <v>77</v>
      </c>
      <c r="D33" s="11">
        <v>0</v>
      </c>
      <c r="E33" s="11">
        <v>428.4</v>
      </c>
      <c r="F33" s="11">
        <v>856.8</v>
      </c>
      <c r="G33" s="11">
        <v>-428.4</v>
      </c>
    </row>
    <row r="34" spans="1:7" ht="12" x14ac:dyDescent="0.15">
      <c r="A34" s="5" t="s">
        <v>78</v>
      </c>
      <c r="B34" s="5" t="s">
        <v>43</v>
      </c>
      <c r="C34" s="5" t="s">
        <v>79</v>
      </c>
      <c r="D34" s="11">
        <v>-6827.22</v>
      </c>
      <c r="E34" s="11">
        <v>5772.69</v>
      </c>
      <c r="F34" s="11">
        <v>5381.91</v>
      </c>
      <c r="G34" s="11">
        <v>-6436.44</v>
      </c>
    </row>
    <row r="35" spans="1:7" ht="12" x14ac:dyDescent="0.15">
      <c r="A35" s="5">
        <v>800100</v>
      </c>
      <c r="B35" s="5" t="s">
        <v>81</v>
      </c>
      <c r="C35" s="5" t="s">
        <v>80</v>
      </c>
      <c r="D35" s="11">
        <v>0</v>
      </c>
      <c r="E35" s="11">
        <v>0</v>
      </c>
      <c r="F35" s="11">
        <v>4916.26</v>
      </c>
      <c r="G35" s="11">
        <v>-4916.26</v>
      </c>
    </row>
    <row r="36" spans="1:7" ht="12" x14ac:dyDescent="0.15">
      <c r="A36" s="5" t="s">
        <v>82</v>
      </c>
      <c r="B36" s="5" t="s">
        <v>84</v>
      </c>
      <c r="C36" s="5" t="s">
        <v>83</v>
      </c>
      <c r="D36" s="11">
        <v>0</v>
      </c>
      <c r="E36" s="11">
        <v>38804.239999999998</v>
      </c>
      <c r="F36" s="11">
        <v>19402.12</v>
      </c>
      <c r="G36" s="11">
        <v>19402.12</v>
      </c>
    </row>
    <row r="37" spans="1:7" ht="12" x14ac:dyDescent="0.15">
      <c r="A37" s="5" t="s">
        <v>85</v>
      </c>
      <c r="B37" s="5" t="s">
        <v>84</v>
      </c>
      <c r="C37" s="5" t="s">
        <v>86</v>
      </c>
      <c r="D37" s="11">
        <v>0</v>
      </c>
      <c r="E37" s="11">
        <v>5381.91</v>
      </c>
      <c r="F37" s="11">
        <v>5772.69</v>
      </c>
      <c r="G37" s="11">
        <v>-390.78</v>
      </c>
    </row>
    <row r="38" spans="1:7" ht="12" x14ac:dyDescent="0.15">
      <c r="A38" s="5" t="s">
        <v>87</v>
      </c>
      <c r="B38" s="5" t="s">
        <v>84</v>
      </c>
      <c r="C38" s="5" t="s">
        <v>88</v>
      </c>
      <c r="D38" s="11">
        <v>0</v>
      </c>
      <c r="E38" s="11">
        <v>7962.24</v>
      </c>
      <c r="F38" s="11">
        <v>3981.12</v>
      </c>
      <c r="G38" s="11">
        <v>3981.12</v>
      </c>
    </row>
    <row r="39" spans="1:7" ht="12" x14ac:dyDescent="0.15">
      <c r="A39" s="5" t="s">
        <v>89</v>
      </c>
      <c r="B39" s="5" t="s">
        <v>84</v>
      </c>
      <c r="C39" s="5" t="s">
        <v>90</v>
      </c>
      <c r="D39" s="11">
        <v>0</v>
      </c>
      <c r="E39" s="11">
        <v>506</v>
      </c>
      <c r="F39" s="11">
        <v>253</v>
      </c>
      <c r="G39" s="11">
        <v>253</v>
      </c>
    </row>
    <row r="40" spans="1:7" ht="12" x14ac:dyDescent="0.15">
      <c r="A40" s="5" t="s">
        <v>91</v>
      </c>
      <c r="B40" s="5" t="s">
        <v>84</v>
      </c>
      <c r="C40" s="5" t="s">
        <v>92</v>
      </c>
      <c r="D40" s="11">
        <v>0</v>
      </c>
      <c r="E40" s="11">
        <v>4387.5</v>
      </c>
      <c r="F40" s="11">
        <v>0</v>
      </c>
      <c r="G40" s="11">
        <v>4387.5</v>
      </c>
    </row>
    <row r="41" spans="1:7" ht="12" x14ac:dyDescent="0.15">
      <c r="A41" s="5" t="s">
        <v>93</v>
      </c>
      <c r="B41" s="5" t="s">
        <v>84</v>
      </c>
      <c r="C41" s="5" t="s">
        <v>94</v>
      </c>
      <c r="D41" s="11">
        <v>0</v>
      </c>
      <c r="E41" s="11">
        <v>14.04</v>
      </c>
      <c r="F41" s="11">
        <v>0</v>
      </c>
      <c r="G41" s="11">
        <v>14.04</v>
      </c>
    </row>
    <row r="42" spans="1:7" ht="12" x14ac:dyDescent="0.15">
      <c r="A42" s="5" t="s">
        <v>95</v>
      </c>
      <c r="B42" s="5" t="s">
        <v>84</v>
      </c>
      <c r="C42" s="5" t="s">
        <v>96</v>
      </c>
      <c r="D42" s="11">
        <v>0</v>
      </c>
      <c r="E42" s="11">
        <v>530</v>
      </c>
      <c r="F42" s="11">
        <v>0</v>
      </c>
      <c r="G42" s="11">
        <v>530</v>
      </c>
    </row>
    <row r="43" spans="1:7" ht="12" x14ac:dyDescent="0.15">
      <c r="A43" s="5" t="s">
        <v>97</v>
      </c>
      <c r="B43" s="5" t="s">
        <v>84</v>
      </c>
      <c r="C43" s="5" t="s">
        <v>98</v>
      </c>
      <c r="D43" s="11">
        <v>0</v>
      </c>
      <c r="E43" s="11">
        <v>748.31</v>
      </c>
      <c r="F43" s="11">
        <v>0</v>
      </c>
      <c r="G43" s="11">
        <v>748.31</v>
      </c>
    </row>
    <row r="44" spans="1:7" ht="12" x14ac:dyDescent="0.15">
      <c r="A44" s="5" t="s">
        <v>99</v>
      </c>
      <c r="B44" s="5" t="s">
        <v>84</v>
      </c>
      <c r="C44" s="5" t="s">
        <v>100</v>
      </c>
      <c r="D44" s="11">
        <v>0</v>
      </c>
      <c r="E44" s="11">
        <v>2141.34</v>
      </c>
      <c r="F44" s="11">
        <v>0</v>
      </c>
      <c r="G44" s="11">
        <v>2141.34</v>
      </c>
    </row>
    <row r="45" spans="1:7" ht="12" x14ac:dyDescent="0.15">
      <c r="A45" s="5" t="s">
        <v>101</v>
      </c>
      <c r="B45" s="5" t="s">
        <v>84</v>
      </c>
      <c r="C45" s="5" t="s">
        <v>102</v>
      </c>
      <c r="D45" s="11">
        <v>0</v>
      </c>
      <c r="E45" s="11">
        <v>625.84</v>
      </c>
      <c r="F45" s="11">
        <v>0</v>
      </c>
      <c r="G45" s="11">
        <v>625.84</v>
      </c>
    </row>
    <row r="46" spans="1:7" ht="12" x14ac:dyDescent="0.15">
      <c r="A46" s="5" t="s">
        <v>103</v>
      </c>
      <c r="B46" s="5" t="s">
        <v>84</v>
      </c>
      <c r="C46" s="5" t="s">
        <v>104</v>
      </c>
      <c r="D46" s="11">
        <v>0</v>
      </c>
      <c r="E46" s="11">
        <v>561.03</v>
      </c>
      <c r="F46" s="11">
        <v>0</v>
      </c>
      <c r="G46" s="11">
        <v>561.03</v>
      </c>
    </row>
    <row r="47" spans="1:7" ht="12" x14ac:dyDescent="0.15">
      <c r="A47" s="5" t="s">
        <v>105</v>
      </c>
      <c r="B47" s="5" t="s">
        <v>84</v>
      </c>
      <c r="C47" s="5" t="s">
        <v>106</v>
      </c>
      <c r="D47" s="11">
        <v>0</v>
      </c>
      <c r="E47" s="11">
        <v>0.04</v>
      </c>
      <c r="F47" s="11">
        <v>0</v>
      </c>
      <c r="G47" s="11">
        <v>0.04</v>
      </c>
    </row>
    <row r="48" spans="1:7" ht="12" x14ac:dyDescent="0.15">
      <c r="A48" s="5" t="s">
        <v>107</v>
      </c>
      <c r="B48" s="5" t="s">
        <v>84</v>
      </c>
      <c r="C48" s="5" t="s">
        <v>108</v>
      </c>
      <c r="D48" s="11">
        <v>0</v>
      </c>
      <c r="E48" s="11">
        <v>0.93</v>
      </c>
      <c r="F48" s="11">
        <v>0</v>
      </c>
      <c r="G48" s="11">
        <v>0.93</v>
      </c>
    </row>
    <row r="49" spans="1:7" ht="12" x14ac:dyDescent="0.15">
      <c r="A49" s="5" t="s">
        <v>109</v>
      </c>
      <c r="B49" s="5" t="s">
        <v>84</v>
      </c>
      <c r="C49" s="5" t="s">
        <v>110</v>
      </c>
      <c r="D49" s="11">
        <v>0</v>
      </c>
      <c r="E49" s="11">
        <v>96.8</v>
      </c>
      <c r="F49" s="11">
        <v>0</v>
      </c>
      <c r="G49" s="11">
        <v>96.8</v>
      </c>
    </row>
    <row r="50" spans="1:7" ht="12" x14ac:dyDescent="0.15">
      <c r="A50" s="5" t="s">
        <v>111</v>
      </c>
      <c r="B50" s="5" t="s">
        <v>84</v>
      </c>
      <c r="C50" s="5" t="s">
        <v>112</v>
      </c>
      <c r="D50" s="11">
        <v>0</v>
      </c>
      <c r="E50" s="11">
        <v>3821.96</v>
      </c>
      <c r="F50" s="11">
        <v>0</v>
      </c>
      <c r="G50" s="11">
        <v>3821.96</v>
      </c>
    </row>
    <row r="51" spans="1:7" ht="12" x14ac:dyDescent="0.15">
      <c r="A51" s="4"/>
      <c r="B51" s="4"/>
      <c r="C51" s="12" t="s">
        <v>113</v>
      </c>
      <c r="D51" s="13">
        <v>-6.3664629124105001E-12</v>
      </c>
      <c r="E51" s="13">
        <v>206252.39</v>
      </c>
      <c r="F51" s="13">
        <v>206252.390000001</v>
      </c>
      <c r="G51" s="13">
        <v>-6.4028427004814096E-10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Meijer</cp:lastModifiedBy>
  <dcterms:created xsi:type="dcterms:W3CDTF">2026-04-22T06:03:12Z</dcterms:created>
  <dcterms:modified xsi:type="dcterms:W3CDTF">2026-04-22T08:07:22Z</dcterms:modified>
</cp:coreProperties>
</file>