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gf-my.sharepoint.com/personal/tom_meijer_theglobalfund_org/Documents/Documents/Temp/Blueplates/Rapportage/Q1 2026/VISMA/"/>
    </mc:Choice>
  </mc:AlternateContent>
  <xr:revisionPtr revIDLastSave="36" documentId="11_06AFA39A02D80C5747D2C0CEDE38803FEC663DB8" xr6:coauthVersionLast="47" xr6:coauthVersionMax="47" xr10:uidLastSave="{5028709E-AAE8-1140-AA66-6FF9072C39E0}"/>
  <bookViews>
    <workbookView xWindow="-38400" yWindow="600" windowWidth="38400" windowHeight="21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J24" i="1"/>
  <c r="K24" i="1" s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</calcChain>
</file>

<file path=xl/sharedStrings.xml><?xml version="1.0" encoding="utf-8"?>
<sst xmlns="http://schemas.openxmlformats.org/spreadsheetml/2006/main" count="141" uniqueCount="107">
  <si>
    <t>Organisatie:</t>
  </si>
  <si>
    <t>OOY Group Holding B.V.</t>
  </si>
  <si>
    <t>Periode:</t>
  </si>
  <si>
    <t>Datum:</t>
  </si>
  <si>
    <t>Pagina:</t>
  </si>
  <si>
    <t>Gebruiker:</t>
  </si>
  <si>
    <t>1 van 2</t>
  </si>
  <si>
    <t>Tom Meijer</t>
  </si>
  <si>
    <t>01-2026 - 03-2026</t>
  </si>
  <si>
    <t>Grootboek</t>
  </si>
  <si>
    <t>Grootboek:</t>
  </si>
  <si>
    <t>0000-9999</t>
  </si>
  <si>
    <t>Rekeningen:</t>
  </si>
  <si>
    <t>Proefbalans (overzicht)</t>
  </si>
  <si>
    <t/>
  </si>
  <si>
    <t>Eindsaldo</t>
  </si>
  <si>
    <t>Credit</t>
  </si>
  <si>
    <t>Debet</t>
  </si>
  <si>
    <t>Beginsaldo</t>
  </si>
  <si>
    <t>Omschrijving</t>
  </si>
  <si>
    <t>Rekening</t>
  </si>
  <si>
    <t>Soort</t>
  </si>
  <si>
    <t>025010</t>
  </si>
  <si>
    <t>Inventaris -afschrijvingen</t>
  </si>
  <si>
    <t>A</t>
  </si>
  <si>
    <t>025200</t>
  </si>
  <si>
    <t>Software</t>
  </si>
  <si>
    <t>025210</t>
  </si>
  <si>
    <t>Software -afschrijvingen</t>
  </si>
  <si>
    <t>040100</t>
  </si>
  <si>
    <t>Deelnemingen OOY Mobility</t>
  </si>
  <si>
    <t>040200</t>
  </si>
  <si>
    <t>Deelnemingen OOY TECH</t>
  </si>
  <si>
    <t>040300</t>
  </si>
  <si>
    <t>Deelnemingen OOY Vehicles</t>
  </si>
  <si>
    <t>100201</t>
  </si>
  <si>
    <t>RABO 914 - OOY Group Holding B.V.</t>
  </si>
  <si>
    <t>119000</t>
  </si>
  <si>
    <t>Kruisposten algemeen</t>
  </si>
  <si>
    <t>132000</t>
  </si>
  <si>
    <t>Debiteuren</t>
  </si>
  <si>
    <t>173200</t>
  </si>
  <si>
    <t>BTW te vorderen laag</t>
  </si>
  <si>
    <t>176901</t>
  </si>
  <si>
    <t>BTW 2025</t>
  </si>
  <si>
    <t>049000</t>
  </si>
  <si>
    <t>Borgsommen</t>
  </si>
  <si>
    <t>L</t>
  </si>
  <si>
    <t>050000</t>
  </si>
  <si>
    <t>Aandelenkapitaal</t>
  </si>
  <si>
    <t>054000</t>
  </si>
  <si>
    <t>Winstreserves</t>
  </si>
  <si>
    <t>054020</t>
  </si>
  <si>
    <t>Resultaat huidig jaar</t>
  </si>
  <si>
    <t>054030</t>
  </si>
  <si>
    <t>Agioreserve</t>
  </si>
  <si>
    <t>082012</t>
  </si>
  <si>
    <t>Lening OOY Legacy</t>
  </si>
  <si>
    <t>086000</t>
  </si>
  <si>
    <t>Financiering Amsterdams klimaat &amp; Energiefonds</t>
  </si>
  <si>
    <t>142090</t>
  </si>
  <si>
    <t>Overlopende Activa</t>
  </si>
  <si>
    <t>149100</t>
  </si>
  <si>
    <t>R/c OOY Holding B.V.</t>
  </si>
  <si>
    <t>149300</t>
  </si>
  <si>
    <t>R/c OOY TECH</t>
  </si>
  <si>
    <t>149400</t>
  </si>
  <si>
    <t>R/c OOY Mobility</t>
  </si>
  <si>
    <t>149500</t>
  </si>
  <si>
    <t>R/c OOY Vehicies</t>
  </si>
  <si>
    <t>149600</t>
  </si>
  <si>
    <t>R/c STAK OOY</t>
  </si>
  <si>
    <t>149800</t>
  </si>
  <si>
    <t>R/c OOY Legacy</t>
  </si>
  <si>
    <t>153000</t>
  </si>
  <si>
    <t>Crediteuren</t>
  </si>
  <si>
    <t>171001</t>
  </si>
  <si>
    <t>Latentie vennootschapsbelasting (VPB)</t>
  </si>
  <si>
    <t>172100</t>
  </si>
  <si>
    <t>BTW verkopen hoog -af te dragen</t>
  </si>
  <si>
    <t>173100</t>
  </si>
  <si>
    <t>BTW voorbelastingen/uitgaven</t>
  </si>
  <si>
    <t>176000</t>
  </si>
  <si>
    <t>Betaalde/ontvangen BTW</t>
  </si>
  <si>
    <t>800102</t>
  </si>
  <si>
    <t>Omzet administratiekosten</t>
  </si>
  <si>
    <t>I</t>
  </si>
  <si>
    <t>800103</t>
  </si>
  <si>
    <t>Boete chauffeurs 0%</t>
  </si>
  <si>
    <t>422300</t>
  </si>
  <si>
    <t>SchoonmaakKosten</t>
  </si>
  <si>
    <t>E</t>
  </si>
  <si>
    <t>429000</t>
  </si>
  <si>
    <t>Overige huisvestingsKosten</t>
  </si>
  <si>
    <t>475000</t>
  </si>
  <si>
    <t>Computer &amp; software Kosten</t>
  </si>
  <si>
    <t>476000</t>
  </si>
  <si>
    <t>Accountant- administratieKosten</t>
  </si>
  <si>
    <t>486600</t>
  </si>
  <si>
    <t>Management fee</t>
  </si>
  <si>
    <t>641100</t>
  </si>
  <si>
    <t>BankKosten</t>
  </si>
  <si>
    <t>Totaal:</t>
  </si>
  <si>
    <t>Correctie Debet</t>
  </si>
  <si>
    <t>Correctie Credit</t>
  </si>
  <si>
    <t>Correctie Beginsaldo</t>
  </si>
  <si>
    <t>Correctie Eindsaldo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</si>
</sst>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\-yyyy\ hh:mm"/>
    <numFmt numFmtId="165" formatCode="#,##0.00;[Red]\-#,##0.00"/>
  </numFmts>
  <fonts count="8" x14ac:knownFonts="1">
    <font>
      <sz val="9"/>
      <name val="Tahoma"/>
    </font>
    <font>
      <sz val="8"/>
      <name val="Arial"/>
      <family val="2"/>
    </font>
    <font>
      <sz val="8"/>
      <name val="Tahoma"/>
      <family val="2"/>
    </font>
    <font>
      <b/>
      <sz val="9"/>
      <name val="Tahoma"/>
      <family val="2"/>
    </font>
    <font>
      <sz val="8"/>
      <color rgb="FFFF0000"/>
      <name val="Tahoma"/>
      <family val="2"/>
    </font>
    <font>
      <b/>
      <sz val="8"/>
      <name val="Arial"/>
      <family val="2"/>
    </font>
    <font>
      <sz val="9"/>
      <name val="Tahoma"/>
      <family val="2"/>
    </font>
    <font>
      <sz val="9"/>
      <color rgb="FFFF0000"/>
      <name val="Tahoma"/>
      <family val="2"/>
    </font>
  </fonts>
  <fills count="8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E6E6FA"/>
        <bgColor rgb="FFE6E6FA"/>
      </patternFill>
    </fill>
    <fill>
      <patternFill patternType="none">
        <fgColor auto="1"/>
        <bgColor auto="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E6E6FA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80"/>
      </top>
      <bottom/>
      <diagonal/>
    </border>
    <border>
      <left/>
      <right/>
      <top style="thin">
        <color rgb="FF000080"/>
      </top>
      <bottom style="thin">
        <color rgb="FF000080"/>
      </bottom>
      <diagonal/>
    </border>
    <border>
      <left/>
      <right/>
      <top style="thin">
        <color rgb="FF000000"/>
      </top>
      <bottom/>
      <diagonal/>
    </border>
  </borders>
  <cellStyleXfs count="46">
    <xf numFmtId="0" fontId="0" fillId="0" borderId="0" applyAlignment="0"/>
    <xf numFmtId="0" fontId="6" fillId="2" borderId="1" applyAlignment="0"/>
    <xf numFmtId="0" fontId="1" fillId="2" borderId="1" applyAlignment="0"/>
    <xf numFmtId="0" fontId="1" fillId="2" borderId="1">
      <alignment horizontal="left" vertical="top"/>
    </xf>
    <xf numFmtId="0" fontId="1" fillId="2" borderId="1">
      <alignment horizontal="left" vertical="top"/>
    </xf>
    <xf numFmtId="0" fontId="1" fillId="2" borderId="1">
      <alignment horizontal="right" vertical="top"/>
    </xf>
    <xf numFmtId="0" fontId="1" fillId="2" borderId="1">
      <alignment horizontal="right" vertical="top"/>
    </xf>
    <xf numFmtId="164" fontId="1" fillId="2" borderId="1">
      <alignment horizontal="right" vertical="top"/>
    </xf>
    <xf numFmtId="0" fontId="2" fillId="2" borderId="1" applyAlignment="0"/>
    <xf numFmtId="0" fontId="2" fillId="2" borderId="1">
      <alignment horizontal="left" vertical="top"/>
    </xf>
    <xf numFmtId="0" fontId="2" fillId="2" borderId="1">
      <alignment horizontal="left" vertical="top"/>
    </xf>
    <xf numFmtId="0" fontId="2" fillId="2" borderId="1">
      <alignment horizontal="right" vertical="top"/>
    </xf>
    <xf numFmtId="0" fontId="2" fillId="2" borderId="1">
      <alignment horizontal="right" vertical="top"/>
    </xf>
    <xf numFmtId="0" fontId="3" fillId="2" borderId="1" applyAlignment="0"/>
    <xf numFmtId="0" fontId="3" fillId="2" borderId="1">
      <alignment horizontal="left" vertical="top"/>
    </xf>
    <xf numFmtId="0" fontId="3" fillId="2" borderId="1">
      <alignment horizontal="left" vertical="top"/>
    </xf>
    <xf numFmtId="0" fontId="4" fillId="2" borderId="1" applyAlignment="0"/>
    <xf numFmtId="0" fontId="4" fillId="2" borderId="1">
      <alignment horizontal="left" vertical="top"/>
    </xf>
    <xf numFmtId="0" fontId="4" fillId="2" borderId="1">
      <alignment horizontal="left" vertical="top"/>
    </xf>
    <xf numFmtId="0" fontId="5" fillId="2" borderId="1" applyAlignment="0"/>
    <xf numFmtId="0" fontId="5" fillId="2" borderId="1">
      <alignment horizontal="right" vertical="top"/>
    </xf>
    <xf numFmtId="0" fontId="5" fillId="2" borderId="1">
      <alignment horizontal="right" vertical="top"/>
    </xf>
    <xf numFmtId="0" fontId="5" fillId="2" borderId="1">
      <alignment horizontal="left" vertical="top"/>
    </xf>
    <xf numFmtId="0" fontId="5" fillId="2" borderId="1">
      <alignment horizontal="left" vertical="top"/>
    </xf>
    <xf numFmtId="0" fontId="5" fillId="2" borderId="2">
      <alignment horizontal="left" vertical="top"/>
    </xf>
    <xf numFmtId="0" fontId="5" fillId="2" borderId="2">
      <alignment horizontal="right" vertical="top"/>
    </xf>
    <xf numFmtId="0" fontId="5" fillId="2" borderId="3">
      <alignment horizontal="left" vertical="top"/>
    </xf>
    <xf numFmtId="0" fontId="5" fillId="2" borderId="3">
      <alignment horizontal="right" vertical="top"/>
    </xf>
    <xf numFmtId="0" fontId="5" fillId="3" borderId="3">
      <alignment horizontal="left" vertical="top"/>
    </xf>
    <xf numFmtId="0" fontId="5" fillId="3" borderId="3">
      <alignment horizontal="right" vertical="top"/>
    </xf>
    <xf numFmtId="165" fontId="1" fillId="2" borderId="1">
      <alignment horizontal="right" vertical="top"/>
    </xf>
    <xf numFmtId="0" fontId="6" fillId="0" borderId="4"/>
    <xf numFmtId="0" fontId="5" fillId="4" borderId="4">
      <alignment horizontal="left" vertical="top"/>
    </xf>
    <xf numFmtId="165" fontId="5" fillId="2" borderId="1">
      <alignment horizontal="right" vertical="top"/>
    </xf>
    <xf numFmtId="165" fontId="5" fillId="4" borderId="4">
      <alignment horizontal="right" vertical="top"/>
    </xf>
    <xf numFmtId="0" fontId="3" fillId="5" borderId="1">
      <alignment horizontal="left" vertical="top"/>
    </xf>
    <xf numFmtId="0" fontId="6" fillId="5" borderId="0"/>
    <xf numFmtId="0" fontId="1" fillId="5" borderId="1">
      <alignment horizontal="left" vertical="top"/>
    </xf>
    <xf numFmtId="0" fontId="1" fillId="5" borderId="1">
      <alignment horizontal="right" vertical="top"/>
    </xf>
    <xf numFmtId="0" fontId="2" fillId="5" borderId="1">
      <alignment horizontal="left" vertical="top"/>
    </xf>
    <xf numFmtId="164" fontId="1" fillId="5" borderId="1">
      <alignment horizontal="right" vertical="top"/>
    </xf>
    <xf numFmtId="0" fontId="2" fillId="5" borderId="1">
      <alignment horizontal="right" vertical="top"/>
    </xf>
    <xf numFmtId="0" fontId="4" fillId="5" borderId="1">
      <alignment horizontal="left" vertical="top"/>
    </xf>
    <xf numFmtId="165" fontId="1" fillId="5" borderId="1">
      <alignment horizontal="right" vertical="top"/>
    </xf>
    <xf numFmtId="0" fontId="5" fillId="5" borderId="4">
      <alignment horizontal="left" vertical="top"/>
    </xf>
    <xf numFmtId="165" fontId="5" fillId="5" borderId="4">
      <alignment horizontal="right" vertical="top"/>
    </xf>
  </cellStyleXfs>
  <cellXfs count="17">
    <xf numFmtId="0" fontId="0" fillId="0" borderId="0" xfId="0"/>
    <xf numFmtId="0" fontId="5" fillId="3" borderId="3" xfId="28">
      <alignment horizontal="left" vertical="top"/>
    </xf>
    <xf numFmtId="0" fontId="5" fillId="3" borderId="3" xfId="29">
      <alignment horizontal="right" vertical="top"/>
    </xf>
    <xf numFmtId="0" fontId="3" fillId="5" borderId="1" xfId="35">
      <alignment horizontal="left" vertical="top"/>
    </xf>
    <xf numFmtId="0" fontId="6" fillId="5" borderId="0" xfId="36"/>
    <xf numFmtId="0" fontId="1" fillId="5" borderId="1" xfId="37">
      <alignment horizontal="left" vertical="top"/>
    </xf>
    <xf numFmtId="0" fontId="1" fillId="5" borderId="1" xfId="38">
      <alignment horizontal="right" vertical="top"/>
    </xf>
    <xf numFmtId="0" fontId="2" fillId="5" borderId="1" xfId="39">
      <alignment horizontal="left" vertical="top"/>
    </xf>
    <xf numFmtId="164" fontId="1" fillId="5" borderId="1" xfId="40">
      <alignment horizontal="right" vertical="top"/>
    </xf>
    <xf numFmtId="0" fontId="2" fillId="5" borderId="1" xfId="41">
      <alignment horizontal="right" vertical="top"/>
    </xf>
    <xf numFmtId="0" fontId="4" fillId="5" borderId="1" xfId="42">
      <alignment horizontal="left" vertical="top"/>
    </xf>
    <xf numFmtId="165" fontId="1" fillId="5" borderId="1" xfId="43">
      <alignment horizontal="right" vertical="top"/>
    </xf>
    <xf numFmtId="0" fontId="5" fillId="5" borderId="4" xfId="44">
      <alignment horizontal="left" vertical="top"/>
    </xf>
    <xf numFmtId="165" fontId="5" fillId="5" borderId="4" xfId="45">
      <alignment horizontal="right" vertical="top"/>
    </xf>
    <xf numFmtId="0" fontId="5" fillId="6" borderId="1" xfId="29" applyFill="1" applyBorder="1">
      <alignment horizontal="right" vertical="top"/>
    </xf>
    <xf numFmtId="3" fontId="0" fillId="0" borderId="0" xfId="0" applyNumberFormat="1"/>
    <xf numFmtId="3" fontId="7" fillId="7" borderId="0" xfId="0" applyNumberFormat="1" applyFont="1" applyFill="1"/>
  </cellXfs>
  <cellStyles count="46">
    <cellStyle name="Normal" xfId="0" builtinId="0"/>
    <cellStyle name="Style 1" xfId="1" xr:uid="{00000000-0005-0000-0000-000001000000}"/>
    <cellStyle name="Style 10" xfId="10" xr:uid="{00000000-0005-0000-0000-00000A000000}"/>
    <cellStyle name="Style 11" xfId="11" xr:uid="{00000000-0005-0000-0000-00000B000000}"/>
    <cellStyle name="Style 12" xfId="12" xr:uid="{00000000-0005-0000-0000-00000C000000}"/>
    <cellStyle name="Style 13" xfId="13" xr:uid="{00000000-0005-0000-0000-00000D000000}"/>
    <cellStyle name="Style 14" xfId="14" xr:uid="{00000000-0005-0000-0000-00000E000000}"/>
    <cellStyle name="Style 15" xfId="15" xr:uid="{00000000-0005-0000-0000-00000F000000}"/>
    <cellStyle name="Style 16" xfId="16" xr:uid="{00000000-0005-0000-0000-000010000000}"/>
    <cellStyle name="Style 17" xfId="17" xr:uid="{00000000-0005-0000-0000-000011000000}"/>
    <cellStyle name="Style 18" xfId="18" xr:uid="{00000000-0005-0000-0000-000012000000}"/>
    <cellStyle name="Style 19" xfId="19" xr:uid="{00000000-0005-0000-0000-000013000000}"/>
    <cellStyle name="Style 2" xfId="2" xr:uid="{00000000-0005-0000-0000-000002000000}"/>
    <cellStyle name="Style 20" xfId="20" xr:uid="{00000000-0005-0000-0000-000014000000}"/>
    <cellStyle name="Style 21" xfId="21" xr:uid="{00000000-0005-0000-0000-000015000000}"/>
    <cellStyle name="Style 22" xfId="22" xr:uid="{00000000-0005-0000-0000-000016000000}"/>
    <cellStyle name="Style 23" xfId="23" xr:uid="{00000000-0005-0000-0000-000017000000}"/>
    <cellStyle name="Style 24" xfId="24" xr:uid="{00000000-0005-0000-0000-000018000000}"/>
    <cellStyle name="Style 25" xfId="25" xr:uid="{00000000-0005-0000-0000-000019000000}"/>
    <cellStyle name="Style 26" xfId="26" xr:uid="{00000000-0005-0000-0000-00001A000000}"/>
    <cellStyle name="Style 27" xfId="27" xr:uid="{00000000-0005-0000-0000-00001B000000}"/>
    <cellStyle name="Style 28" xfId="28" xr:uid="{00000000-0005-0000-0000-00001C000000}"/>
    <cellStyle name="Style 29" xfId="29" xr:uid="{00000000-0005-0000-0000-00001D000000}"/>
    <cellStyle name="Style 3" xfId="3" xr:uid="{00000000-0005-0000-0000-000003000000}"/>
    <cellStyle name="Style 30" xfId="30" xr:uid="{00000000-0005-0000-0000-00001E000000}"/>
    <cellStyle name="Style 31" xfId="31" xr:uid="{00000000-0005-0000-0000-00001F000000}"/>
    <cellStyle name="Style 32" xfId="32" xr:uid="{00000000-0005-0000-0000-000020000000}"/>
    <cellStyle name="Style 33" xfId="33" xr:uid="{00000000-0005-0000-0000-000021000000}"/>
    <cellStyle name="Style 34" xfId="34" xr:uid="{00000000-0005-0000-0000-000022000000}"/>
    <cellStyle name="Style 35" xfId="35" xr:uid="{00000000-0005-0000-0000-000023000000}"/>
    <cellStyle name="Style 36" xfId="36" xr:uid="{00000000-0005-0000-0000-000024000000}"/>
    <cellStyle name="Style 37" xfId="37" xr:uid="{00000000-0005-0000-0000-000025000000}"/>
    <cellStyle name="Style 38" xfId="38" xr:uid="{00000000-0005-0000-0000-000026000000}"/>
    <cellStyle name="Style 39" xfId="39" xr:uid="{00000000-0005-0000-0000-000027000000}"/>
    <cellStyle name="Style 4" xfId="4" xr:uid="{00000000-0005-0000-0000-000004000000}"/>
    <cellStyle name="Style 40" xfId="40" xr:uid="{00000000-0005-0000-0000-000028000000}"/>
    <cellStyle name="Style 41" xfId="41" xr:uid="{00000000-0005-0000-0000-000029000000}"/>
    <cellStyle name="Style 42" xfId="42" xr:uid="{00000000-0005-0000-0000-00002A000000}"/>
    <cellStyle name="Style 43" xfId="43" xr:uid="{00000000-0005-0000-0000-00002B000000}"/>
    <cellStyle name="Style 44" xfId="44" xr:uid="{00000000-0005-0000-0000-00002C000000}"/>
    <cellStyle name="Style 45" xfId="45" xr:uid="{00000000-0005-0000-0000-00002D000000}"/>
    <cellStyle name="Style 5" xfId="5" xr:uid="{00000000-0005-0000-0000-000005000000}"/>
    <cellStyle name="Style 6" xfId="6" xr:uid="{00000000-0005-0000-0000-000006000000}"/>
    <cellStyle name="Style 7" xfId="7" xr:uid="{00000000-0005-0000-0000-000007000000}"/>
    <cellStyle name="Style 8" xfId="8" xr:uid="{00000000-0005-0000-0000-000008000000}"/>
    <cellStyle name="Style 9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workbookViewId="0">
      <selection activeCell="M15" sqref="M15"/>
    </sheetView>
  </sheetViews>
  <sheetFormatPr baseColWidth="10" defaultRowHeight="12" x14ac:dyDescent="0.15"/>
  <cols>
    <col min="1" max="1" width="16" customWidth="1"/>
    <col min="2" max="2" width="6" customWidth="1"/>
    <col min="3" max="3" width="65" customWidth="1"/>
    <col min="4" max="4" width="20" customWidth="1"/>
    <col min="5" max="6" width="21" customWidth="1"/>
    <col min="7" max="7" width="20" customWidth="1"/>
    <col min="8" max="8" width="19.3984375" customWidth="1"/>
    <col min="9" max="9" width="12.59765625" bestFit="1" customWidth="1"/>
    <col min="10" max="10" width="12.796875" bestFit="1" customWidth="1"/>
    <col min="11" max="11" width="15.59765625" bestFit="1" customWidth="1"/>
  </cols>
  <sheetData>
    <row r="1" spans="1:11" x14ac:dyDescent="0.15">
      <c r="A1" s="3" t="s">
        <v>13</v>
      </c>
      <c r="B1" s="4"/>
      <c r="C1" s="4"/>
      <c r="D1" s="4"/>
      <c r="E1" s="4"/>
      <c r="F1" s="5" t="s">
        <v>4</v>
      </c>
      <c r="G1" s="6" t="s">
        <v>6</v>
      </c>
    </row>
    <row r="2" spans="1:11" x14ac:dyDescent="0.15">
      <c r="A2" s="5" t="s">
        <v>0</v>
      </c>
      <c r="B2" s="5" t="s">
        <v>1</v>
      </c>
      <c r="C2" s="4"/>
      <c r="D2" s="5" t="s">
        <v>10</v>
      </c>
      <c r="E2" s="7" t="s">
        <v>9</v>
      </c>
      <c r="F2" s="5" t="s">
        <v>3</v>
      </c>
      <c r="G2" s="8">
        <v>46134.249817390097</v>
      </c>
    </row>
    <row r="3" spans="1:11" x14ac:dyDescent="0.15">
      <c r="A3" s="5" t="s">
        <v>5</v>
      </c>
      <c r="B3" s="5" t="s">
        <v>7</v>
      </c>
      <c r="C3" s="4"/>
      <c r="D3" s="5" t="s">
        <v>2</v>
      </c>
      <c r="E3" s="5" t="s">
        <v>8</v>
      </c>
      <c r="F3" s="5" t="s">
        <v>12</v>
      </c>
      <c r="G3" s="9" t="s">
        <v>11</v>
      </c>
    </row>
    <row r="4" spans="1:11" x14ac:dyDescent="0.15">
      <c r="A4" s="4"/>
      <c r="B4" s="4"/>
      <c r="C4" s="4"/>
      <c r="D4" s="10" t="s">
        <v>14</v>
      </c>
      <c r="E4" s="4"/>
      <c r="F4" s="4"/>
      <c r="G4" s="4"/>
    </row>
    <row r="5" spans="1:11" x14ac:dyDescent="0.15">
      <c r="A5" s="4"/>
      <c r="B5" s="4"/>
      <c r="C5" s="4"/>
      <c r="D5" s="4"/>
      <c r="E5" s="4"/>
      <c r="F5" s="4"/>
      <c r="G5" s="4"/>
    </row>
    <row r="6" spans="1:11" x14ac:dyDescent="0.15">
      <c r="A6" s="1" t="s">
        <v>20</v>
      </c>
      <c r="B6" s="1" t="s">
        <v>21</v>
      </c>
      <c r="C6" s="1" t="s">
        <v>19</v>
      </c>
      <c r="D6" s="2" t="s">
        <v>18</v>
      </c>
      <c r="E6" s="2" t="s">
        <v>17</v>
      </c>
      <c r="F6" s="2" t="s">
        <v>16</v>
      </c>
      <c r="G6" s="2" t="s">
        <v>15</v>
      </c>
      <c r="H6" s="14" t="s">
        <v>105</v>
      </c>
      <c r="I6" s="14" t="s">
        <v>103</v>
      </c>
      <c r="J6" s="14" t="s">
        <v>104</v>
      </c>
      <c r="K6" s="14" t="s">
        <v>106</v>
      </c>
    </row>
    <row r="7" spans="1:11" x14ac:dyDescent="0.15">
      <c r="A7" s="5" t="s">
        <v>22</v>
      </c>
      <c r="B7" s="5" t="s">
        <v>24</v>
      </c>
      <c r="C7" s="5" t="s">
        <v>23</v>
      </c>
      <c r="D7" s="11">
        <v>-2376.38</v>
      </c>
      <c r="E7" s="11">
        <v>0</v>
      </c>
      <c r="F7" s="11">
        <v>0</v>
      </c>
      <c r="G7" s="11">
        <v>-2376.38</v>
      </c>
      <c r="H7" s="15">
        <v>-2376.38</v>
      </c>
      <c r="I7" s="15">
        <v>0</v>
      </c>
      <c r="J7" s="15">
        <v>0</v>
      </c>
      <c r="K7" s="15">
        <f>H7+I7-J7</f>
        <v>-2376.38</v>
      </c>
    </row>
    <row r="8" spans="1:11" x14ac:dyDescent="0.15">
      <c r="A8" s="5" t="s">
        <v>25</v>
      </c>
      <c r="B8" s="5" t="s">
        <v>24</v>
      </c>
      <c r="C8" s="5" t="s">
        <v>26</v>
      </c>
      <c r="D8" s="11">
        <v>14258.75</v>
      </c>
      <c r="E8" s="11">
        <v>0</v>
      </c>
      <c r="F8" s="11">
        <v>0</v>
      </c>
      <c r="G8" s="11">
        <v>14258.75</v>
      </c>
      <c r="H8" s="15">
        <v>14258.75</v>
      </c>
      <c r="I8" s="15">
        <v>0</v>
      </c>
      <c r="J8" s="15">
        <v>0</v>
      </c>
      <c r="K8" s="15">
        <f t="shared" ref="K8:K44" si="0">H8+I8-J8</f>
        <v>14258.75</v>
      </c>
    </row>
    <row r="9" spans="1:11" x14ac:dyDescent="0.15">
      <c r="A9" s="5" t="s">
        <v>27</v>
      </c>
      <c r="B9" s="5" t="s">
        <v>24</v>
      </c>
      <c r="C9" s="5" t="s">
        <v>28</v>
      </c>
      <c r="D9" s="11">
        <v>-2138.85</v>
      </c>
      <c r="E9" s="11">
        <v>0</v>
      </c>
      <c r="F9" s="11">
        <v>0</v>
      </c>
      <c r="G9" s="11">
        <v>-2138.85</v>
      </c>
      <c r="H9" s="15">
        <v>-2138.85</v>
      </c>
      <c r="I9" s="15">
        <v>0</v>
      </c>
      <c r="J9" s="15">
        <v>0</v>
      </c>
      <c r="K9" s="15">
        <f t="shared" si="0"/>
        <v>-2138.85</v>
      </c>
    </row>
    <row r="10" spans="1:11" x14ac:dyDescent="0.15">
      <c r="A10" s="5" t="s">
        <v>29</v>
      </c>
      <c r="B10" s="5" t="s">
        <v>24</v>
      </c>
      <c r="C10" s="5" t="s">
        <v>30</v>
      </c>
      <c r="D10" s="11">
        <v>1</v>
      </c>
      <c r="E10" s="11">
        <v>0</v>
      </c>
      <c r="F10" s="11">
        <v>0</v>
      </c>
      <c r="G10" s="11">
        <v>1</v>
      </c>
      <c r="H10" s="15">
        <v>1</v>
      </c>
      <c r="I10" s="15">
        <v>0</v>
      </c>
      <c r="J10" s="15">
        <v>0</v>
      </c>
      <c r="K10" s="15">
        <f t="shared" si="0"/>
        <v>1</v>
      </c>
    </row>
    <row r="11" spans="1:11" x14ac:dyDescent="0.15">
      <c r="A11" s="5" t="s">
        <v>31</v>
      </c>
      <c r="B11" s="5" t="s">
        <v>24</v>
      </c>
      <c r="C11" s="5" t="s">
        <v>32</v>
      </c>
      <c r="D11" s="11">
        <v>1</v>
      </c>
      <c r="E11" s="11">
        <v>0</v>
      </c>
      <c r="F11" s="11">
        <v>0</v>
      </c>
      <c r="G11" s="11">
        <v>1</v>
      </c>
      <c r="H11" s="15">
        <v>1</v>
      </c>
      <c r="I11" s="15">
        <v>0</v>
      </c>
      <c r="J11" s="15">
        <v>0</v>
      </c>
      <c r="K11" s="15">
        <f t="shared" si="0"/>
        <v>1</v>
      </c>
    </row>
    <row r="12" spans="1:11" x14ac:dyDescent="0.15">
      <c r="A12" s="5" t="s">
        <v>33</v>
      </c>
      <c r="B12" s="5" t="s">
        <v>24</v>
      </c>
      <c r="C12" s="5" t="s">
        <v>34</v>
      </c>
      <c r="D12" s="11">
        <v>1</v>
      </c>
      <c r="E12" s="11">
        <v>0</v>
      </c>
      <c r="F12" s="11">
        <v>0</v>
      </c>
      <c r="G12" s="11">
        <v>1</v>
      </c>
      <c r="H12" s="15">
        <v>1</v>
      </c>
      <c r="I12" s="15">
        <v>0</v>
      </c>
      <c r="J12" s="15">
        <v>0</v>
      </c>
      <c r="K12" s="15">
        <f t="shared" si="0"/>
        <v>1</v>
      </c>
    </row>
    <row r="13" spans="1:11" x14ac:dyDescent="0.15">
      <c r="A13" s="5" t="s">
        <v>35</v>
      </c>
      <c r="B13" s="5" t="s">
        <v>24</v>
      </c>
      <c r="C13" s="5" t="s">
        <v>36</v>
      </c>
      <c r="D13" s="11">
        <v>2248.54</v>
      </c>
      <c r="E13" s="11">
        <v>8073.55</v>
      </c>
      <c r="F13" s="11">
        <v>10291.280000000001</v>
      </c>
      <c r="G13" s="11">
        <v>30.81</v>
      </c>
      <c r="H13" s="15">
        <v>2248.54</v>
      </c>
      <c r="I13" s="15">
        <v>8073.55</v>
      </c>
      <c r="J13" s="15">
        <v>10291.280000000001</v>
      </c>
      <c r="K13" s="15">
        <f t="shared" si="0"/>
        <v>30.809999999999491</v>
      </c>
    </row>
    <row r="14" spans="1:11" x14ac:dyDescent="0.15">
      <c r="A14" s="5" t="s">
        <v>37</v>
      </c>
      <c r="B14" s="5" t="s">
        <v>24</v>
      </c>
      <c r="C14" s="5" t="s">
        <v>38</v>
      </c>
      <c r="D14" s="11">
        <v>0</v>
      </c>
      <c r="E14" s="11">
        <v>1133.55</v>
      </c>
      <c r="F14" s="11">
        <v>1133.55</v>
      </c>
      <c r="G14" s="11">
        <v>0</v>
      </c>
      <c r="H14" s="15">
        <v>0</v>
      </c>
      <c r="I14" s="15">
        <v>1133.55</v>
      </c>
      <c r="J14" s="15">
        <v>1133.55</v>
      </c>
      <c r="K14" s="15">
        <f t="shared" si="0"/>
        <v>0</v>
      </c>
    </row>
    <row r="15" spans="1:11" x14ac:dyDescent="0.15">
      <c r="A15" s="5" t="s">
        <v>39</v>
      </c>
      <c r="B15" s="5" t="s">
        <v>24</v>
      </c>
      <c r="C15" s="5" t="s">
        <v>40</v>
      </c>
      <c r="D15" s="11">
        <v>0</v>
      </c>
      <c r="E15" s="11">
        <v>132.25</v>
      </c>
      <c r="F15" s="11">
        <v>132.25</v>
      </c>
      <c r="G15" s="11">
        <v>0</v>
      </c>
      <c r="H15" s="15">
        <v>0</v>
      </c>
      <c r="I15" s="15">
        <v>132.25</v>
      </c>
      <c r="J15" s="15">
        <v>132.25</v>
      </c>
      <c r="K15" s="15">
        <f t="shared" si="0"/>
        <v>0</v>
      </c>
    </row>
    <row r="16" spans="1:11" x14ac:dyDescent="0.15">
      <c r="A16" s="5" t="s">
        <v>41</v>
      </c>
      <c r="B16" s="5" t="s">
        <v>24</v>
      </c>
      <c r="C16" s="5" t="s">
        <v>42</v>
      </c>
      <c r="D16" s="11">
        <v>-0.46</v>
      </c>
      <c r="E16" s="11">
        <v>0.46</v>
      </c>
      <c r="F16" s="11">
        <v>0</v>
      </c>
      <c r="G16" s="11">
        <v>0</v>
      </c>
      <c r="H16" s="15">
        <v>-0.46</v>
      </c>
      <c r="I16" s="15">
        <v>0.46</v>
      </c>
      <c r="J16" s="15">
        <v>0</v>
      </c>
      <c r="K16" s="15">
        <f t="shared" si="0"/>
        <v>0</v>
      </c>
    </row>
    <row r="17" spans="1:11" x14ac:dyDescent="0.15">
      <c r="A17" s="5" t="s">
        <v>43</v>
      </c>
      <c r="B17" s="5" t="s">
        <v>24</v>
      </c>
      <c r="C17" s="5" t="s">
        <v>44</v>
      </c>
      <c r="D17" s="11">
        <v>0</v>
      </c>
      <c r="E17" s="11">
        <v>2970</v>
      </c>
      <c r="F17" s="11">
        <v>0</v>
      </c>
      <c r="G17" s="11">
        <v>2970</v>
      </c>
      <c r="H17" s="15">
        <v>0</v>
      </c>
      <c r="I17" s="15">
        <v>2970</v>
      </c>
      <c r="J17" s="15">
        <v>0</v>
      </c>
      <c r="K17" s="15">
        <f t="shared" si="0"/>
        <v>2970</v>
      </c>
    </row>
    <row r="18" spans="1:11" x14ac:dyDescent="0.15">
      <c r="A18" s="5" t="s">
        <v>45</v>
      </c>
      <c r="B18" s="5" t="s">
        <v>47</v>
      </c>
      <c r="C18" s="5" t="s">
        <v>46</v>
      </c>
      <c r="D18" s="11">
        <v>298</v>
      </c>
      <c r="E18" s="11">
        <v>0</v>
      </c>
      <c r="F18" s="11">
        <v>0</v>
      </c>
      <c r="G18" s="11">
        <v>298</v>
      </c>
      <c r="H18" s="15">
        <v>298</v>
      </c>
      <c r="I18" s="15">
        <v>0</v>
      </c>
      <c r="J18" s="15">
        <v>0</v>
      </c>
      <c r="K18" s="15">
        <f t="shared" si="0"/>
        <v>298</v>
      </c>
    </row>
    <row r="19" spans="1:11" x14ac:dyDescent="0.15">
      <c r="A19" s="5" t="s">
        <v>48</v>
      </c>
      <c r="B19" s="5" t="s">
        <v>47</v>
      </c>
      <c r="C19" s="5" t="s">
        <v>49</v>
      </c>
      <c r="D19" s="11">
        <v>-12</v>
      </c>
      <c r="E19" s="11">
        <v>0</v>
      </c>
      <c r="F19" s="11">
        <v>0</v>
      </c>
      <c r="G19" s="11">
        <v>-12</v>
      </c>
      <c r="H19" s="15">
        <v>-12</v>
      </c>
      <c r="I19" s="15">
        <v>0</v>
      </c>
      <c r="J19" s="15">
        <v>0</v>
      </c>
      <c r="K19" s="15">
        <f t="shared" si="0"/>
        <v>-12</v>
      </c>
    </row>
    <row r="20" spans="1:11" x14ac:dyDescent="0.15">
      <c r="A20" s="5" t="s">
        <v>50</v>
      </c>
      <c r="B20" s="5" t="s">
        <v>47</v>
      </c>
      <c r="C20" s="5" t="s">
        <v>51</v>
      </c>
      <c r="D20" s="11">
        <v>118011.22</v>
      </c>
      <c r="E20" s="11">
        <v>0</v>
      </c>
      <c r="F20" s="11">
        <v>0</v>
      </c>
      <c r="G20" s="11">
        <v>118011.22</v>
      </c>
      <c r="H20" s="15">
        <v>118011.22</v>
      </c>
      <c r="I20" s="15">
        <v>0</v>
      </c>
      <c r="J20" s="15">
        <v>0</v>
      </c>
      <c r="K20" s="15">
        <f t="shared" si="0"/>
        <v>118011.22</v>
      </c>
    </row>
    <row r="21" spans="1:11" x14ac:dyDescent="0.15">
      <c r="A21" s="5" t="s">
        <v>52</v>
      </c>
      <c r="B21" s="5" t="s">
        <v>47</v>
      </c>
      <c r="C21" s="5" t="s">
        <v>53</v>
      </c>
      <c r="D21" s="11">
        <v>215656.07</v>
      </c>
      <c r="E21" s="11">
        <v>0</v>
      </c>
      <c r="F21" s="11">
        <v>0</v>
      </c>
      <c r="G21" s="11">
        <v>215656.07</v>
      </c>
      <c r="H21" s="15">
        <v>215656.07</v>
      </c>
      <c r="I21" s="15">
        <v>0</v>
      </c>
      <c r="J21" s="15">
        <v>0</v>
      </c>
      <c r="K21" s="15">
        <f t="shared" si="0"/>
        <v>215656.07</v>
      </c>
    </row>
    <row r="22" spans="1:11" x14ac:dyDescent="0.15">
      <c r="A22" s="5" t="s">
        <v>54</v>
      </c>
      <c r="B22" s="5" t="s">
        <v>47</v>
      </c>
      <c r="C22" s="5" t="s">
        <v>55</v>
      </c>
      <c r="D22" s="11">
        <v>-50000</v>
      </c>
      <c r="E22" s="11">
        <v>0</v>
      </c>
      <c r="F22" s="11">
        <v>0</v>
      </c>
      <c r="G22" s="11">
        <v>-50000</v>
      </c>
      <c r="H22" s="15">
        <v>-50000</v>
      </c>
      <c r="I22" s="15">
        <v>0</v>
      </c>
      <c r="J22" s="15">
        <v>0</v>
      </c>
      <c r="K22" s="15">
        <f t="shared" si="0"/>
        <v>-50000</v>
      </c>
    </row>
    <row r="23" spans="1:11" x14ac:dyDescent="0.15">
      <c r="A23" s="5" t="s">
        <v>56</v>
      </c>
      <c r="B23" s="5" t="s">
        <v>47</v>
      </c>
      <c r="C23" s="5" t="s">
        <v>57</v>
      </c>
      <c r="D23" s="11">
        <v>-150000</v>
      </c>
      <c r="E23" s="11">
        <v>0</v>
      </c>
      <c r="F23" s="11">
        <v>0</v>
      </c>
      <c r="G23" s="11">
        <v>-150000</v>
      </c>
      <c r="H23" s="15">
        <v>-150000</v>
      </c>
      <c r="I23" s="15">
        <v>0</v>
      </c>
      <c r="J23" s="15">
        <v>0</v>
      </c>
      <c r="K23" s="15">
        <f t="shared" si="0"/>
        <v>-150000</v>
      </c>
    </row>
    <row r="24" spans="1:11" x14ac:dyDescent="0.15">
      <c r="A24" s="5" t="s">
        <v>58</v>
      </c>
      <c r="B24" s="5" t="s">
        <v>47</v>
      </c>
      <c r="C24" s="5" t="s">
        <v>59</v>
      </c>
      <c r="D24" s="11">
        <v>-1408191.06</v>
      </c>
      <c r="E24" s="11">
        <v>0</v>
      </c>
      <c r="F24" s="11">
        <v>0</v>
      </c>
      <c r="G24" s="11">
        <v>-1408191.06</v>
      </c>
      <c r="H24" s="16">
        <v>-1472779.81</v>
      </c>
      <c r="I24" s="15">
        <v>0</v>
      </c>
      <c r="J24" s="16">
        <f>1584805.9+H24-80000</f>
        <v>32026.089999999851</v>
      </c>
      <c r="K24" s="15">
        <f t="shared" si="0"/>
        <v>-1504805.9</v>
      </c>
    </row>
    <row r="25" spans="1:11" x14ac:dyDescent="0.15">
      <c r="A25" s="5" t="s">
        <v>60</v>
      </c>
      <c r="B25" s="5" t="s">
        <v>47</v>
      </c>
      <c r="C25" s="5" t="s">
        <v>61</v>
      </c>
      <c r="D25" s="11">
        <v>153</v>
      </c>
      <c r="E25" s="11">
        <v>412.61</v>
      </c>
      <c r="F25" s="11">
        <v>0</v>
      </c>
      <c r="G25" s="11">
        <v>565.61</v>
      </c>
      <c r="H25" s="15">
        <v>153</v>
      </c>
      <c r="I25" s="15">
        <v>412.61</v>
      </c>
      <c r="J25" s="15">
        <v>0</v>
      </c>
      <c r="K25" s="15">
        <f t="shared" si="0"/>
        <v>565.61</v>
      </c>
    </row>
    <row r="26" spans="1:11" x14ac:dyDescent="0.15">
      <c r="A26" s="5" t="s">
        <v>62</v>
      </c>
      <c r="B26" s="5" t="s">
        <v>47</v>
      </c>
      <c r="C26" s="5" t="s">
        <v>63</v>
      </c>
      <c r="D26" s="11">
        <v>3069.5</v>
      </c>
      <c r="E26" s="11">
        <v>0</v>
      </c>
      <c r="F26" s="11">
        <v>250</v>
      </c>
      <c r="G26" s="11">
        <v>2819.5</v>
      </c>
      <c r="H26" s="15">
        <v>3069.5</v>
      </c>
      <c r="I26" s="15">
        <v>0</v>
      </c>
      <c r="J26" s="15">
        <v>250</v>
      </c>
      <c r="K26" s="15">
        <f t="shared" si="0"/>
        <v>2819.5</v>
      </c>
    </row>
    <row r="27" spans="1:11" x14ac:dyDescent="0.15">
      <c r="A27" s="5" t="s">
        <v>64</v>
      </c>
      <c r="B27" s="5" t="s">
        <v>47</v>
      </c>
      <c r="C27" s="5" t="s">
        <v>65</v>
      </c>
      <c r="D27" s="11">
        <v>174274.29</v>
      </c>
      <c r="E27" s="11">
        <v>500</v>
      </c>
      <c r="F27" s="11">
        <v>0</v>
      </c>
      <c r="G27" s="11">
        <v>174774.29</v>
      </c>
      <c r="H27" s="15">
        <v>174274.29</v>
      </c>
      <c r="I27" s="15">
        <v>500</v>
      </c>
      <c r="J27" s="15">
        <v>0</v>
      </c>
      <c r="K27" s="15">
        <f t="shared" si="0"/>
        <v>174774.29</v>
      </c>
    </row>
    <row r="28" spans="1:11" x14ac:dyDescent="0.15">
      <c r="A28" s="5" t="s">
        <v>66</v>
      </c>
      <c r="B28" s="5" t="s">
        <v>47</v>
      </c>
      <c r="C28" s="5" t="s">
        <v>67</v>
      </c>
      <c r="D28" s="11">
        <v>-6998.11</v>
      </c>
      <c r="E28" s="11">
        <v>150</v>
      </c>
      <c r="F28" s="11">
        <v>2000</v>
      </c>
      <c r="G28" s="11">
        <v>-8848.11</v>
      </c>
      <c r="H28" s="15">
        <v>-6998.11</v>
      </c>
      <c r="I28" s="15">
        <v>150</v>
      </c>
      <c r="J28" s="15">
        <v>2000</v>
      </c>
      <c r="K28" s="15">
        <f t="shared" si="0"/>
        <v>-8848.11</v>
      </c>
    </row>
    <row r="29" spans="1:11" x14ac:dyDescent="0.15">
      <c r="A29" s="5" t="s">
        <v>68</v>
      </c>
      <c r="B29" s="5" t="s">
        <v>47</v>
      </c>
      <c r="C29" s="5" t="s">
        <v>69</v>
      </c>
      <c r="D29" s="11">
        <v>1146023.92</v>
      </c>
      <c r="E29" s="11">
        <v>1850</v>
      </c>
      <c r="F29" s="11">
        <v>0</v>
      </c>
      <c r="G29" s="11">
        <v>1147873.92</v>
      </c>
      <c r="H29" s="15">
        <v>1146023.92</v>
      </c>
      <c r="I29" s="15">
        <v>1850</v>
      </c>
      <c r="J29" s="15">
        <v>0</v>
      </c>
      <c r="K29" s="15">
        <f t="shared" si="0"/>
        <v>1147873.92</v>
      </c>
    </row>
    <row r="30" spans="1:11" x14ac:dyDescent="0.15">
      <c r="A30" s="5" t="s">
        <v>70</v>
      </c>
      <c r="B30" s="5" t="s">
        <v>47</v>
      </c>
      <c r="C30" s="5" t="s">
        <v>71</v>
      </c>
      <c r="D30" s="11">
        <v>341.17</v>
      </c>
      <c r="E30" s="11">
        <v>0</v>
      </c>
      <c r="F30" s="11">
        <v>0</v>
      </c>
      <c r="G30" s="11">
        <v>341.17</v>
      </c>
      <c r="H30" s="15">
        <v>341.17</v>
      </c>
      <c r="I30" s="15">
        <v>0</v>
      </c>
      <c r="J30" s="15">
        <v>0</v>
      </c>
      <c r="K30" s="15">
        <f t="shared" si="0"/>
        <v>341.17</v>
      </c>
    </row>
    <row r="31" spans="1:11" x14ac:dyDescent="0.15">
      <c r="A31" s="5" t="s">
        <v>72</v>
      </c>
      <c r="B31" s="5" t="s">
        <v>47</v>
      </c>
      <c r="C31" s="5" t="s">
        <v>73</v>
      </c>
      <c r="D31" s="11">
        <v>2570.42</v>
      </c>
      <c r="E31" s="11">
        <v>0</v>
      </c>
      <c r="F31" s="11">
        <v>0</v>
      </c>
      <c r="G31" s="11">
        <v>2570.42</v>
      </c>
      <c r="H31" s="15">
        <v>2570.42</v>
      </c>
      <c r="I31" s="15">
        <v>0</v>
      </c>
      <c r="J31" s="15">
        <v>0</v>
      </c>
      <c r="K31" s="15">
        <f t="shared" si="0"/>
        <v>2570.42</v>
      </c>
    </row>
    <row r="32" spans="1:11" x14ac:dyDescent="0.15">
      <c r="A32" s="5" t="s">
        <v>74</v>
      </c>
      <c r="B32" s="5" t="s">
        <v>47</v>
      </c>
      <c r="C32" s="5" t="s">
        <v>75</v>
      </c>
      <c r="D32" s="11">
        <v>-81868.179999999993</v>
      </c>
      <c r="E32" s="11">
        <v>14054.45</v>
      </c>
      <c r="F32" s="11">
        <v>25857.63</v>
      </c>
      <c r="G32" s="11">
        <v>-93671.360000000001</v>
      </c>
      <c r="H32" s="15">
        <v>-81868.179999999993</v>
      </c>
      <c r="I32" s="15">
        <v>14054.45</v>
      </c>
      <c r="J32" s="15">
        <v>25857.63</v>
      </c>
      <c r="K32" s="15">
        <f t="shared" si="0"/>
        <v>-93671.360000000001</v>
      </c>
    </row>
    <row r="33" spans="1:11" x14ac:dyDescent="0.15">
      <c r="A33" s="5" t="s">
        <v>76</v>
      </c>
      <c r="B33" s="5" t="s">
        <v>47</v>
      </c>
      <c r="C33" s="5" t="s">
        <v>77</v>
      </c>
      <c r="D33" s="11">
        <v>21311</v>
      </c>
      <c r="E33" s="11">
        <v>0</v>
      </c>
      <c r="F33" s="11">
        <v>0</v>
      </c>
      <c r="G33" s="11">
        <v>21311</v>
      </c>
      <c r="H33" s="15">
        <v>21311</v>
      </c>
      <c r="I33" s="15">
        <v>0</v>
      </c>
      <c r="J33" s="15">
        <v>0</v>
      </c>
      <c r="K33" s="15">
        <f t="shared" si="0"/>
        <v>21311</v>
      </c>
    </row>
    <row r="34" spans="1:11" x14ac:dyDescent="0.15">
      <c r="A34" s="5" t="s">
        <v>78</v>
      </c>
      <c r="B34" s="5" t="s">
        <v>47</v>
      </c>
      <c r="C34" s="5" t="s">
        <v>79</v>
      </c>
      <c r="D34" s="11">
        <v>0</v>
      </c>
      <c r="E34" s="11">
        <v>5.25</v>
      </c>
      <c r="F34" s="11">
        <v>5.25</v>
      </c>
      <c r="G34" s="11">
        <v>0</v>
      </c>
      <c r="H34" s="15">
        <v>0</v>
      </c>
      <c r="I34" s="15">
        <v>5.25</v>
      </c>
      <c r="J34" s="15">
        <v>5.25</v>
      </c>
      <c r="K34" s="15">
        <f t="shared" si="0"/>
        <v>0</v>
      </c>
    </row>
    <row r="35" spans="1:11" x14ac:dyDescent="0.15">
      <c r="A35" s="5" t="s">
        <v>80</v>
      </c>
      <c r="B35" s="5" t="s">
        <v>47</v>
      </c>
      <c r="C35" s="5" t="s">
        <v>81</v>
      </c>
      <c r="D35" s="11">
        <v>40731.65</v>
      </c>
      <c r="E35" s="11">
        <v>153599.67999999999</v>
      </c>
      <c r="F35" s="11">
        <v>190732.58</v>
      </c>
      <c r="G35" s="11">
        <v>3598.75</v>
      </c>
      <c r="H35" s="15">
        <v>40731.65</v>
      </c>
      <c r="I35" s="15">
        <v>153599.67999999999</v>
      </c>
      <c r="J35" s="15">
        <v>190732.58</v>
      </c>
      <c r="K35" s="15">
        <f t="shared" si="0"/>
        <v>3598.75</v>
      </c>
    </row>
    <row r="36" spans="1:11" x14ac:dyDescent="0.15">
      <c r="A36" s="5" t="s">
        <v>82</v>
      </c>
      <c r="B36" s="5" t="s">
        <v>47</v>
      </c>
      <c r="C36" s="5" t="s">
        <v>83</v>
      </c>
      <c r="D36" s="11">
        <v>-37365.49</v>
      </c>
      <c r="E36" s="11">
        <v>186477.49</v>
      </c>
      <c r="F36" s="11">
        <v>153889.29999999999</v>
      </c>
      <c r="G36" s="11">
        <v>-4777.3</v>
      </c>
      <c r="H36" s="15">
        <v>-37365.49</v>
      </c>
      <c r="I36" s="15">
        <v>186477.49</v>
      </c>
      <c r="J36" s="15">
        <v>153889.29999999999</v>
      </c>
      <c r="K36" s="15">
        <f t="shared" si="0"/>
        <v>-4777.2999999999884</v>
      </c>
    </row>
    <row r="37" spans="1:11" x14ac:dyDescent="0.15">
      <c r="A37" s="5" t="s">
        <v>84</v>
      </c>
      <c r="B37" s="5" t="s">
        <v>86</v>
      </c>
      <c r="C37" s="5" t="s">
        <v>85</v>
      </c>
      <c r="D37" s="11">
        <v>0</v>
      </c>
      <c r="E37" s="11">
        <v>25</v>
      </c>
      <c r="F37" s="11">
        <v>25</v>
      </c>
      <c r="G37" s="11">
        <v>0</v>
      </c>
      <c r="H37" s="15">
        <v>0</v>
      </c>
      <c r="I37" s="15">
        <v>25</v>
      </c>
      <c r="J37" s="15">
        <v>25</v>
      </c>
      <c r="K37" s="15">
        <f t="shared" si="0"/>
        <v>0</v>
      </c>
    </row>
    <row r="38" spans="1:11" x14ac:dyDescent="0.15">
      <c r="A38" s="5" t="s">
        <v>87</v>
      </c>
      <c r="B38" s="5" t="s">
        <v>86</v>
      </c>
      <c r="C38" s="5" t="s">
        <v>88</v>
      </c>
      <c r="D38" s="11">
        <v>0</v>
      </c>
      <c r="E38" s="11">
        <v>102</v>
      </c>
      <c r="F38" s="11">
        <v>102</v>
      </c>
      <c r="G38" s="11">
        <v>0</v>
      </c>
      <c r="H38" s="15">
        <v>0</v>
      </c>
      <c r="I38" s="15">
        <v>102</v>
      </c>
      <c r="J38" s="15">
        <v>102</v>
      </c>
      <c r="K38" s="15">
        <f t="shared" si="0"/>
        <v>0</v>
      </c>
    </row>
    <row r="39" spans="1:11" x14ac:dyDescent="0.15">
      <c r="A39" s="5" t="s">
        <v>89</v>
      </c>
      <c r="B39" s="5" t="s">
        <v>91</v>
      </c>
      <c r="C39" s="5" t="s">
        <v>90</v>
      </c>
      <c r="D39" s="11">
        <v>0</v>
      </c>
      <c r="E39" s="11">
        <v>35</v>
      </c>
      <c r="F39" s="11">
        <v>0</v>
      </c>
      <c r="G39" s="11">
        <v>35</v>
      </c>
      <c r="H39" s="15">
        <v>0</v>
      </c>
      <c r="I39" s="15">
        <v>35</v>
      </c>
      <c r="J39" s="15">
        <v>0</v>
      </c>
      <c r="K39" s="15">
        <f t="shared" si="0"/>
        <v>35</v>
      </c>
    </row>
    <row r="40" spans="1:11" x14ac:dyDescent="0.15">
      <c r="A40" s="5" t="s">
        <v>92</v>
      </c>
      <c r="B40" s="5" t="s">
        <v>91</v>
      </c>
      <c r="C40" s="5" t="s">
        <v>93</v>
      </c>
      <c r="D40" s="11">
        <v>0</v>
      </c>
      <c r="E40" s="11">
        <v>153</v>
      </c>
      <c r="F40" s="11">
        <v>0</v>
      </c>
      <c r="G40" s="11">
        <v>153</v>
      </c>
      <c r="H40" s="15">
        <v>0</v>
      </c>
      <c r="I40" s="15">
        <v>153</v>
      </c>
      <c r="J40" s="15">
        <v>0</v>
      </c>
      <c r="K40" s="15">
        <f t="shared" si="0"/>
        <v>153</v>
      </c>
    </row>
    <row r="41" spans="1:11" x14ac:dyDescent="0.15">
      <c r="A41" s="5" t="s">
        <v>94</v>
      </c>
      <c r="B41" s="5" t="s">
        <v>91</v>
      </c>
      <c r="C41" s="5" t="s">
        <v>95</v>
      </c>
      <c r="D41" s="11">
        <v>0</v>
      </c>
      <c r="E41" s="11">
        <v>1346.68</v>
      </c>
      <c r="F41" s="11">
        <v>0</v>
      </c>
      <c r="G41" s="11">
        <v>1346.68</v>
      </c>
      <c r="H41" s="15">
        <v>0</v>
      </c>
      <c r="I41" s="15">
        <v>1346.68</v>
      </c>
      <c r="J41" s="15">
        <v>0</v>
      </c>
      <c r="K41" s="15">
        <f t="shared" si="0"/>
        <v>1346.68</v>
      </c>
    </row>
    <row r="42" spans="1:11" x14ac:dyDescent="0.15">
      <c r="A42" s="5" t="s">
        <v>96</v>
      </c>
      <c r="B42" s="5" t="s">
        <v>91</v>
      </c>
      <c r="C42" s="5" t="s">
        <v>97</v>
      </c>
      <c r="D42" s="11">
        <v>0</v>
      </c>
      <c r="E42" s="11">
        <v>236.27</v>
      </c>
      <c r="F42" s="11">
        <v>0</v>
      </c>
      <c r="G42" s="11">
        <v>236.27</v>
      </c>
      <c r="H42" s="15">
        <v>0</v>
      </c>
      <c r="I42" s="15">
        <v>236.27</v>
      </c>
      <c r="J42" s="15">
        <v>0</v>
      </c>
      <c r="K42" s="15">
        <f t="shared" si="0"/>
        <v>236.27</v>
      </c>
    </row>
    <row r="43" spans="1:11" x14ac:dyDescent="0.15">
      <c r="A43" s="5" t="s">
        <v>98</v>
      </c>
      <c r="B43" s="5" t="s">
        <v>91</v>
      </c>
      <c r="C43" s="5" t="s">
        <v>99</v>
      </c>
      <c r="D43" s="11">
        <v>0</v>
      </c>
      <c r="E43" s="11">
        <v>19599</v>
      </c>
      <c r="F43" s="11">
        <v>6533</v>
      </c>
      <c r="G43" s="11">
        <v>13066</v>
      </c>
      <c r="H43" s="15">
        <v>0</v>
      </c>
      <c r="I43" s="15">
        <v>19599</v>
      </c>
      <c r="J43" s="15">
        <v>6533</v>
      </c>
      <c r="K43" s="15">
        <f t="shared" si="0"/>
        <v>13066</v>
      </c>
    </row>
    <row r="44" spans="1:11" x14ac:dyDescent="0.15">
      <c r="A44" s="5" t="s">
        <v>100</v>
      </c>
      <c r="B44" s="5" t="s">
        <v>91</v>
      </c>
      <c r="C44" s="5" t="s">
        <v>101</v>
      </c>
      <c r="D44" s="11">
        <v>0</v>
      </c>
      <c r="E44" s="11">
        <v>95.6</v>
      </c>
      <c r="F44" s="11">
        <v>0</v>
      </c>
      <c r="G44" s="11">
        <v>95.6</v>
      </c>
      <c r="H44" s="15">
        <v>0</v>
      </c>
      <c r="I44" s="15">
        <v>95.6</v>
      </c>
      <c r="J44" s="15">
        <v>0</v>
      </c>
      <c r="K44" s="15">
        <f t="shared" si="0"/>
        <v>95.6</v>
      </c>
    </row>
    <row r="45" spans="1:11" x14ac:dyDescent="0.15">
      <c r="A45" s="4"/>
      <c r="B45" s="4"/>
      <c r="C45" s="12" t="s">
        <v>102</v>
      </c>
      <c r="D45" s="13">
        <v>-5.8207660913467401E-11</v>
      </c>
      <c r="E45" s="13">
        <v>390951.84</v>
      </c>
      <c r="F45" s="13">
        <v>390951.84</v>
      </c>
      <c r="G45" s="13">
        <v>5.8207660913467401E-11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45afc7-8147-48fd-9212-af8008ee1f68}" enabled="1" method="Standard" siteId="{77920909-8782-4efb-aaf1-44ac114d7c0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 Meijer</cp:lastModifiedBy>
  <dcterms:created xsi:type="dcterms:W3CDTF">2026-04-22T05:59:44Z</dcterms:created>
  <dcterms:modified xsi:type="dcterms:W3CDTF">2026-04-22T06:58:36Z</dcterms:modified>
</cp:coreProperties>
</file>