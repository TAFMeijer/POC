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tommeijer/Git/RSSH-profile-dash/data/"/>
    </mc:Choice>
  </mc:AlternateContent>
  <xr:revisionPtr revIDLastSave="0" documentId="8_{27B719C0-8FE5-DE48-9BEF-AD1E6CE72039}" xr6:coauthVersionLast="47" xr6:coauthVersionMax="47" xr10:uidLastSave="{00000000-0000-0000-0000-000000000000}"/>
  <bookViews>
    <workbookView xWindow="0" yWindow="600" windowWidth="38400" windowHeight="21600" activeTab="3" xr2:uid="{D06E992B-E3B2-40AA-925F-16146D5A88CD}"/>
  </bookViews>
  <sheets>
    <sheet name="Inputs" sheetId="2" state="hidden" r:id="rId1"/>
    <sheet name="Toelichting cijfers" sheetId="4" r:id="rId2"/>
    <sheet name="Jaarcijfers" sheetId="3" r:id="rId3"/>
    <sheet name="Forecast" sheetId="1"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5" i="1" l="1"/>
  <c r="C24" i="1"/>
  <c r="V33" i="1" l="1"/>
  <c r="U33" i="1"/>
  <c r="T33" i="1"/>
  <c r="S33" i="1"/>
  <c r="R33" i="1"/>
  <c r="M33" i="1"/>
  <c r="L33" i="1"/>
  <c r="V37" i="1"/>
  <c r="U37" i="1"/>
  <c r="T37" i="1"/>
  <c r="S37" i="1"/>
  <c r="R37" i="1"/>
  <c r="Q37" i="1"/>
  <c r="P37" i="1"/>
  <c r="O37" i="1"/>
  <c r="N37" i="1"/>
  <c r="M37" i="1"/>
  <c r="L37" i="1"/>
  <c r="K37" i="1"/>
  <c r="J37" i="1"/>
  <c r="I37" i="1"/>
  <c r="H37" i="1"/>
  <c r="G37" i="1"/>
  <c r="D37" i="1"/>
  <c r="E37" i="1"/>
  <c r="F37" i="1"/>
  <c r="C37" i="1"/>
  <c r="K34" i="1"/>
  <c r="K33" i="1" s="1"/>
  <c r="J34" i="1"/>
  <c r="J33" i="1" s="1"/>
  <c r="I34" i="1"/>
  <c r="I33" i="1" s="1"/>
  <c r="H34" i="1"/>
  <c r="H33" i="1" s="1"/>
  <c r="G34" i="1"/>
  <c r="G33" i="1" s="1"/>
  <c r="F34" i="1"/>
  <c r="F33" i="1" s="1"/>
  <c r="V34" i="1"/>
  <c r="U34" i="1"/>
  <c r="T34" i="1"/>
  <c r="S34" i="1"/>
  <c r="R34" i="1"/>
  <c r="E33" i="1"/>
  <c r="D33" i="1"/>
  <c r="C33" i="1"/>
  <c r="Q34" i="1"/>
  <c r="Q33" i="1" s="1"/>
  <c r="P34" i="1"/>
  <c r="P33" i="1" s="1"/>
  <c r="O34" i="1"/>
  <c r="O33" i="1" s="1"/>
  <c r="N34" i="1"/>
  <c r="N33" i="1" s="1"/>
  <c r="M34" i="1"/>
  <c r="L34" i="1"/>
  <c r="C5" i="3"/>
  <c r="C7" i="3" s="1"/>
  <c r="C9" i="3" s="1"/>
  <c r="C12" i="3" s="1"/>
  <c r="D5" i="3"/>
  <c r="D7" i="3" s="1"/>
  <c r="D9" i="3" s="1"/>
  <c r="D12" i="3" s="1"/>
  <c r="V39" i="1"/>
  <c r="U39" i="1"/>
  <c r="T39" i="1"/>
  <c r="S39" i="1"/>
  <c r="R39" i="1"/>
  <c r="Q39" i="1"/>
  <c r="P39" i="1"/>
  <c r="O39" i="1"/>
  <c r="C39" i="1"/>
  <c r="C32" i="1"/>
  <c r="N32" i="1"/>
  <c r="M32" i="1"/>
  <c r="L32" i="1"/>
  <c r="K32" i="1"/>
  <c r="J32" i="1"/>
  <c r="I32" i="1"/>
  <c r="H32" i="1"/>
  <c r="G32" i="1"/>
  <c r="F32" i="1"/>
  <c r="E32" i="1"/>
  <c r="D32" i="1"/>
  <c r="D25" i="1"/>
  <c r="D24" i="1"/>
  <c r="C20" i="1"/>
  <c r="D20" i="1"/>
  <c r="F10" i="1"/>
  <c r="G10" i="1"/>
  <c r="H10" i="1"/>
  <c r="I10" i="1"/>
  <c r="J10" i="1"/>
  <c r="K10" i="1"/>
  <c r="L10" i="1"/>
  <c r="M10" i="1"/>
  <c r="N10" i="1"/>
  <c r="O10" i="1"/>
  <c r="P10" i="1"/>
  <c r="Q10" i="1"/>
  <c r="R10" i="1"/>
  <c r="S10" i="1"/>
  <c r="T10" i="1"/>
  <c r="U10" i="1"/>
  <c r="V10" i="1"/>
  <c r="E10" i="1"/>
  <c r="D10" i="1"/>
  <c r="D11" i="1"/>
  <c r="E11" i="1"/>
  <c r="F11" i="1"/>
  <c r="G11" i="1"/>
  <c r="H11" i="1"/>
  <c r="I11" i="1"/>
  <c r="J11" i="1"/>
  <c r="K11" i="1"/>
  <c r="L11" i="1"/>
  <c r="M11" i="1"/>
  <c r="N11" i="1"/>
  <c r="O11" i="1"/>
  <c r="P11" i="1"/>
  <c r="Q11" i="1"/>
  <c r="R11" i="1"/>
  <c r="S11" i="1"/>
  <c r="T11" i="1"/>
  <c r="U11" i="1"/>
  <c r="V11" i="1"/>
  <c r="C11" i="1"/>
  <c r="C10" i="1"/>
  <c r="D15" i="1"/>
  <c r="C24" i="3"/>
  <c r="C25" i="3"/>
  <c r="C27" i="3" s="1"/>
  <c r="C18" i="3"/>
  <c r="C21" i="3"/>
  <c r="D16" i="1" l="1"/>
  <c r="D36" i="1" l="1"/>
  <c r="D35" i="1"/>
  <c r="G8" i="1"/>
  <c r="H8" i="1" l="1"/>
  <c r="R13" i="1"/>
  <c r="S13" i="1" s="1"/>
  <c r="T13" i="1" s="1"/>
  <c r="U13" i="1" s="1"/>
  <c r="V13" i="1" s="1"/>
  <c r="I8" i="1" l="1"/>
  <c r="E7" i="1"/>
  <c r="D21" i="1"/>
  <c r="D22" i="1" s="1"/>
  <c r="E15" i="1"/>
  <c r="C15" i="1"/>
  <c r="O32" i="1" l="1"/>
  <c r="C21" i="1"/>
  <c r="C22" i="1" s="1"/>
  <c r="C16" i="1"/>
  <c r="E25" i="1"/>
  <c r="E24" i="1"/>
  <c r="E20" i="1"/>
  <c r="E16" i="1"/>
  <c r="J8" i="1"/>
  <c r="E21" i="1"/>
  <c r="C36" i="1" l="1"/>
  <c r="C35" i="1"/>
  <c r="E36" i="1"/>
  <c r="E35" i="1"/>
  <c r="E22" i="1"/>
  <c r="P32" i="1"/>
  <c r="K8" i="1"/>
  <c r="D39" i="1"/>
  <c r="E39" i="1"/>
  <c r="F39" i="1"/>
  <c r="G39" i="1"/>
  <c r="H39" i="1"/>
  <c r="I39" i="1"/>
  <c r="J39" i="1"/>
  <c r="K39" i="1"/>
  <c r="L39" i="1"/>
  <c r="M39" i="1"/>
  <c r="N39" i="1"/>
  <c r="C19" i="1"/>
  <c r="D19" i="1"/>
  <c r="E19" i="1"/>
  <c r="F7" i="1"/>
  <c r="Q32" i="1" l="1"/>
  <c r="F25" i="1"/>
  <c r="F24" i="1"/>
  <c r="L8" i="1"/>
  <c r="E17" i="1"/>
  <c r="G7" i="1"/>
  <c r="F15" i="1"/>
  <c r="F21" i="1" s="1"/>
  <c r="F20" i="1"/>
  <c r="F19" i="1" s="1"/>
  <c r="C17" i="1"/>
  <c r="F22" i="1" l="1"/>
  <c r="R32" i="1"/>
  <c r="G25" i="1"/>
  <c r="G24" i="1"/>
  <c r="M8" i="1"/>
  <c r="F16" i="1"/>
  <c r="C40" i="1"/>
  <c r="G20" i="1"/>
  <c r="G19" i="1" s="1"/>
  <c r="F27" i="1"/>
  <c r="H7" i="1"/>
  <c r="G15" i="1"/>
  <c r="G21" i="1" s="1"/>
  <c r="G22" i="1" s="1"/>
  <c r="F35" i="1" l="1"/>
  <c r="F36" i="1"/>
  <c r="F29" i="1"/>
  <c r="S32" i="1"/>
  <c r="H25" i="1"/>
  <c r="H24" i="1"/>
  <c r="N8" i="1"/>
  <c r="F40" i="1"/>
  <c r="F42" i="1" s="1"/>
  <c r="F44" i="1" s="1"/>
  <c r="F17" i="1"/>
  <c r="G16" i="1"/>
  <c r="G27" i="1"/>
  <c r="F30" i="1"/>
  <c r="I7" i="1"/>
  <c r="H15" i="1"/>
  <c r="H21" i="1" s="1"/>
  <c r="H20" i="1"/>
  <c r="H19" i="1" s="1"/>
  <c r="D17" i="1"/>
  <c r="D27" i="1"/>
  <c r="C27" i="1"/>
  <c r="E27" i="1"/>
  <c r="G35" i="1" l="1"/>
  <c r="G36" i="1"/>
  <c r="H22" i="1"/>
  <c r="G29" i="1"/>
  <c r="G30" i="1" s="1"/>
  <c r="T32" i="1"/>
  <c r="U32" i="1"/>
  <c r="V32" i="1" s="1"/>
  <c r="G17" i="1"/>
  <c r="H16" i="1"/>
  <c r="O8" i="1"/>
  <c r="I25" i="1"/>
  <c r="I24" i="1"/>
  <c r="G40" i="1"/>
  <c r="G42" i="1" s="1"/>
  <c r="G44" i="1" s="1"/>
  <c r="H27" i="1"/>
  <c r="J7" i="1"/>
  <c r="I15" i="1"/>
  <c r="I21" i="1" s="1"/>
  <c r="I20" i="1"/>
  <c r="H36" i="1" l="1"/>
  <c r="H35" i="1"/>
  <c r="I19" i="1"/>
  <c r="I22" i="1"/>
  <c r="H17" i="1"/>
  <c r="J25" i="1"/>
  <c r="J24" i="1"/>
  <c r="I16" i="1"/>
  <c r="P8" i="1"/>
  <c r="H40" i="1"/>
  <c r="H29" i="1"/>
  <c r="H30" i="1" s="1"/>
  <c r="I27" i="1"/>
  <c r="K7" i="1"/>
  <c r="J15" i="1"/>
  <c r="J21" i="1" s="1"/>
  <c r="J20" i="1"/>
  <c r="I35" i="1" l="1"/>
  <c r="I36" i="1"/>
  <c r="I17" i="1"/>
  <c r="J19" i="1"/>
  <c r="J22" i="1"/>
  <c r="I29" i="1"/>
  <c r="Q8" i="1"/>
  <c r="J16" i="1"/>
  <c r="K25" i="1"/>
  <c r="K24" i="1"/>
  <c r="H42" i="1"/>
  <c r="H44" i="1" s="1"/>
  <c r="I40" i="1"/>
  <c r="I42" i="1" s="1"/>
  <c r="I44" i="1" s="1"/>
  <c r="J27" i="1"/>
  <c r="I30" i="1"/>
  <c r="L7" i="1"/>
  <c r="K15" i="1"/>
  <c r="K21" i="1" s="1"/>
  <c r="K20" i="1"/>
  <c r="C29" i="1"/>
  <c r="C42" i="1" s="1"/>
  <c r="C44" i="1" s="1"/>
  <c r="D29" i="1"/>
  <c r="E29" i="1"/>
  <c r="J17" i="1" l="1"/>
  <c r="J36" i="1"/>
  <c r="J35" i="1"/>
  <c r="J40" i="1" s="1"/>
  <c r="J29" i="1"/>
  <c r="J30" i="1" s="1"/>
  <c r="K19" i="1"/>
  <c r="K22" i="1"/>
  <c r="K16" i="1"/>
  <c r="L25" i="1"/>
  <c r="L16" i="1"/>
  <c r="L24" i="1"/>
  <c r="R8" i="1"/>
  <c r="D40" i="1"/>
  <c r="E40" i="1"/>
  <c r="E42" i="1" s="1"/>
  <c r="E44" i="1" s="1"/>
  <c r="J42" i="1"/>
  <c r="J44" i="1" s="1"/>
  <c r="K27" i="1"/>
  <c r="C30" i="1"/>
  <c r="M7" i="1"/>
  <c r="L15" i="1"/>
  <c r="L20" i="1"/>
  <c r="E30" i="1"/>
  <c r="D30" i="1"/>
  <c r="L35" i="1" l="1"/>
  <c r="L36" i="1"/>
  <c r="K35" i="1"/>
  <c r="K36" i="1"/>
  <c r="K29" i="1"/>
  <c r="K30" i="1" s="1"/>
  <c r="K40" i="1"/>
  <c r="L19" i="1"/>
  <c r="K17" i="1"/>
  <c r="D42" i="1"/>
  <c r="D44" i="1" s="1"/>
  <c r="S8" i="1"/>
  <c r="M25" i="1"/>
  <c r="M24" i="1"/>
  <c r="L21" i="1"/>
  <c r="L22" i="1" s="1"/>
  <c r="K42" i="1"/>
  <c r="K44" i="1" s="1"/>
  <c r="L17" i="1"/>
  <c r="L27" i="1"/>
  <c r="L29" i="1" s="1"/>
  <c r="N7" i="1"/>
  <c r="M15" i="1"/>
  <c r="M21" i="1" s="1"/>
  <c r="M20" i="1"/>
  <c r="L40" i="1" l="1"/>
  <c r="L42" i="1" s="1"/>
  <c r="L44" i="1" s="1"/>
  <c r="M19" i="1"/>
  <c r="M22" i="1"/>
  <c r="M16" i="1"/>
  <c r="N25" i="1"/>
  <c r="N24" i="1"/>
  <c r="T8" i="1"/>
  <c r="O7" i="1"/>
  <c r="M27" i="1"/>
  <c r="M29" i="1" s="1"/>
  <c r="N15" i="1"/>
  <c r="N16" i="1" s="1"/>
  <c r="N20" i="1"/>
  <c r="L30" i="1"/>
  <c r="N36" i="1" l="1"/>
  <c r="N35" i="1"/>
  <c r="M17" i="1"/>
  <c r="M35" i="1"/>
  <c r="M36" i="1"/>
  <c r="N19" i="1"/>
  <c r="O25" i="1"/>
  <c r="O24" i="1"/>
  <c r="U8" i="1"/>
  <c r="P7" i="1"/>
  <c r="N21" i="1"/>
  <c r="N22" i="1" s="1"/>
  <c r="N27" i="1"/>
  <c r="N29" i="1" s="1"/>
  <c r="O20" i="1"/>
  <c r="N17" i="1"/>
  <c r="N40" i="1"/>
  <c r="M30" i="1"/>
  <c r="M40" i="1" l="1"/>
  <c r="M42" i="1" s="1"/>
  <c r="M44" i="1" s="1"/>
  <c r="V8" i="1"/>
  <c r="P25" i="1"/>
  <c r="P24" i="1"/>
  <c r="N42" i="1"/>
  <c r="N44" i="1" s="1"/>
  <c r="O19" i="1"/>
  <c r="O12" i="1"/>
  <c r="O26" i="1" s="1"/>
  <c r="Q7" i="1"/>
  <c r="P20" i="1"/>
  <c r="N30" i="1"/>
  <c r="Q25" i="1" l="1"/>
  <c r="Q24" i="1"/>
  <c r="O15" i="1"/>
  <c r="O14" i="1"/>
  <c r="O27" i="1"/>
  <c r="P12" i="1"/>
  <c r="P19" i="1"/>
  <c r="R7" i="1"/>
  <c r="Q20" i="1"/>
  <c r="R25" i="1" l="1"/>
  <c r="R24" i="1"/>
  <c r="P15" i="1"/>
  <c r="P14" i="1"/>
  <c r="P26" i="1"/>
  <c r="P27" i="1" s="1"/>
  <c r="O21" i="1"/>
  <c r="O22" i="1" s="1"/>
  <c r="O16" i="1"/>
  <c r="Q12" i="1"/>
  <c r="Q19" i="1"/>
  <c r="S7" i="1"/>
  <c r="R20" i="1"/>
  <c r="O36" i="1" l="1"/>
  <c r="O35" i="1"/>
  <c r="O40" i="1"/>
  <c r="P21" i="1"/>
  <c r="P22" i="1" s="1"/>
  <c r="P16" i="1"/>
  <c r="Q15" i="1"/>
  <c r="Q26" i="1"/>
  <c r="Q27" i="1" s="1"/>
  <c r="Q14" i="1"/>
  <c r="O29" i="1"/>
  <c r="O30" i="1" s="1"/>
  <c r="O17" i="1"/>
  <c r="S25" i="1"/>
  <c r="S24" i="1"/>
  <c r="R12" i="1"/>
  <c r="R19" i="1"/>
  <c r="T7" i="1"/>
  <c r="S20" i="1"/>
  <c r="P36" i="1" l="1"/>
  <c r="P35" i="1"/>
  <c r="T25" i="1"/>
  <c r="T24" i="1"/>
  <c r="R15" i="1"/>
  <c r="R14" i="1"/>
  <c r="R26" i="1"/>
  <c r="R27" i="1" s="1"/>
  <c r="P17" i="1"/>
  <c r="P29" i="1"/>
  <c r="Q21" i="1"/>
  <c r="Q22" i="1" s="1"/>
  <c r="Q16" i="1"/>
  <c r="O42" i="1"/>
  <c r="O44" i="1" s="1"/>
  <c r="S12" i="1"/>
  <c r="S19" i="1"/>
  <c r="U7" i="1"/>
  <c r="T20" i="1"/>
  <c r="Q35" i="1" l="1"/>
  <c r="Q36" i="1"/>
  <c r="F3" i="3"/>
  <c r="P40" i="1"/>
  <c r="Q17" i="1"/>
  <c r="Q29" i="1"/>
  <c r="S15" i="1"/>
  <c r="S26" i="1"/>
  <c r="S27" i="1" s="1"/>
  <c r="S14" i="1"/>
  <c r="P30" i="1"/>
  <c r="U25" i="1"/>
  <c r="U24" i="1"/>
  <c r="R21" i="1"/>
  <c r="R22" i="1" s="1"/>
  <c r="R16" i="1"/>
  <c r="T12" i="1"/>
  <c r="T19" i="1"/>
  <c r="V7" i="1"/>
  <c r="U20" i="1"/>
  <c r="R35" i="1" l="1"/>
  <c r="R36" i="1"/>
  <c r="P42" i="1"/>
  <c r="P44" i="1" s="1"/>
  <c r="C47" i="1" s="1"/>
  <c r="Q40" i="1"/>
  <c r="Q42" i="1" s="1"/>
  <c r="R17" i="1"/>
  <c r="R40" i="1"/>
  <c r="F6" i="3" s="1"/>
  <c r="R29" i="1"/>
  <c r="R30" i="1" s="1"/>
  <c r="S21" i="1"/>
  <c r="S22" i="1" s="1"/>
  <c r="S16" i="1"/>
  <c r="V25" i="1"/>
  <c r="V24" i="1"/>
  <c r="Q30" i="1"/>
  <c r="T15" i="1"/>
  <c r="T26" i="1"/>
  <c r="T27" i="1" s="1"/>
  <c r="T14" i="1"/>
  <c r="U12" i="1"/>
  <c r="U19" i="1"/>
  <c r="V20" i="1"/>
  <c r="S36" i="1" l="1"/>
  <c r="S35" i="1"/>
  <c r="T21" i="1"/>
  <c r="T22" i="1" s="1"/>
  <c r="T16" i="1"/>
  <c r="U15" i="1"/>
  <c r="U14" i="1"/>
  <c r="U26" i="1"/>
  <c r="U27" i="1" s="1"/>
  <c r="S17" i="1"/>
  <c r="S40" i="1"/>
  <c r="S29" i="1"/>
  <c r="S30" i="1" s="1"/>
  <c r="R42" i="1"/>
  <c r="V12" i="1"/>
  <c r="V19" i="1"/>
  <c r="T36" i="1" l="1"/>
  <c r="T35" i="1"/>
  <c r="S42" i="1"/>
  <c r="V15" i="1"/>
  <c r="V14" i="1"/>
  <c r="V26" i="1"/>
  <c r="V27" i="1" s="1"/>
  <c r="U21" i="1"/>
  <c r="U22" i="1" s="1"/>
  <c r="U16" i="1"/>
  <c r="T17" i="1"/>
  <c r="T40" i="1"/>
  <c r="T29" i="1"/>
  <c r="U36" i="1" l="1"/>
  <c r="U35" i="1"/>
  <c r="E4" i="3"/>
  <c r="F4" i="3"/>
  <c r="F5" i="3" s="1"/>
  <c r="F7" i="3" s="1"/>
  <c r="G4" i="3"/>
  <c r="T30" i="1"/>
  <c r="T42" i="1"/>
  <c r="U29" i="1"/>
  <c r="U30" i="1" s="1"/>
  <c r="U17" i="1"/>
  <c r="V21" i="1"/>
  <c r="V22" i="1" s="1"/>
  <c r="V16" i="1"/>
  <c r="E3" i="3" l="1"/>
  <c r="E5" i="3" s="1"/>
  <c r="V36" i="1"/>
  <c r="V35" i="1"/>
  <c r="G3" i="3"/>
  <c r="G5" i="3" s="1"/>
  <c r="U40" i="1"/>
  <c r="V17" i="1"/>
  <c r="V29" i="1"/>
  <c r="V40" i="1"/>
  <c r="E6" i="3" s="1"/>
  <c r="E7" i="3" s="1"/>
  <c r="U42" i="1" l="1"/>
  <c r="G6" i="3"/>
  <c r="G7" i="3" s="1"/>
  <c r="V42" i="1"/>
  <c r="V30" i="1"/>
</calcChain>
</file>

<file path=xl/sharedStrings.xml><?xml version="1.0" encoding="utf-8"?>
<sst xmlns="http://schemas.openxmlformats.org/spreadsheetml/2006/main" count="124" uniqueCount="114">
  <si>
    <t>Sep</t>
  </si>
  <si>
    <t>Oct</t>
  </si>
  <si>
    <t>Nov</t>
  </si>
  <si>
    <t>Dec</t>
  </si>
  <si>
    <t>Jan</t>
  </si>
  <si>
    <t>Feb</t>
  </si>
  <si>
    <t>Mar</t>
  </si>
  <si>
    <t>ratio stroom/ex stroom</t>
  </si>
  <si>
    <t>Salesteam</t>
  </si>
  <si>
    <t>Ja</t>
  </si>
  <si>
    <t>Ja / nee</t>
  </si>
  <si>
    <t>Variabelen</t>
  </si>
  <si>
    <t>tussen 0% en 100%</t>
  </si>
  <si>
    <t>Vervolgcampagne</t>
  </si>
  <si>
    <t>Lease (Ayvens)</t>
  </si>
  <si>
    <t>Apr</t>
  </si>
  <si>
    <t>May</t>
  </si>
  <si>
    <t>Jun</t>
  </si>
  <si>
    <t>Jul</t>
  </si>
  <si>
    <t>Aug</t>
  </si>
  <si>
    <t>Maandprijs VanMossel</t>
  </si>
  <si>
    <t>EBITDA</t>
  </si>
  <si>
    <t>Q1</t>
  </si>
  <si>
    <t>Q2</t>
  </si>
  <si>
    <t>Q3</t>
  </si>
  <si>
    <t>Q4</t>
  </si>
  <si>
    <t>Occupancy rate</t>
  </si>
  <si>
    <t>Weekly price standard</t>
  </si>
  <si>
    <t>Weekly price premium</t>
  </si>
  <si>
    <t>Driveplan revenue</t>
  </si>
  <si>
    <t>Lease (Van Mossel) +5 per month</t>
  </si>
  <si>
    <t>Tesla (bought)</t>
  </si>
  <si>
    <t>NIO (bought)</t>
  </si>
  <si>
    <t>(incl VAT)</t>
  </si>
  <si>
    <t>Driveplan adoption rate (own fleet)</t>
  </si>
  <si>
    <t>Driveplan adoption rate (partners)</t>
  </si>
  <si>
    <t>Housing costs / Facilities costs</t>
  </si>
  <si>
    <t>Personnel costs</t>
  </si>
  <si>
    <t>Sales costs (0.5%)</t>
  </si>
  <si>
    <t>Marketing costs (2%)</t>
  </si>
  <si>
    <t>Application management costs (Software, app)</t>
  </si>
  <si>
    <t>General &amp; administrative costs (Accounting, legal)</t>
  </si>
  <si>
    <t>Management fee expenses</t>
  </si>
  <si>
    <t>Driveplan direct costs</t>
  </si>
  <si>
    <t>Fixed COGS (Lease, insurance &amp; electronics)</t>
  </si>
  <si>
    <t>Variable COGS (Maintenance &amp; EV charge)</t>
  </si>
  <si>
    <t>Total COGS</t>
  </si>
  <si>
    <t>Total Revenue</t>
  </si>
  <si>
    <t>Gross Profit</t>
  </si>
  <si>
    <t>Groos Profit Margin (% Revenue)</t>
  </si>
  <si>
    <t>Total OPEX</t>
  </si>
  <si>
    <t>Additional purchased kilometers (avg. 400 km extra per month per vehicle, less after Driveplan)</t>
  </si>
  <si>
    <t>total # of vehicles</t>
  </si>
  <si>
    <t>total kms driven</t>
  </si>
  <si>
    <t>Users to vehicles ratio</t>
  </si>
  <si>
    <t xml:space="preserve">     Of which DrivePlan team</t>
  </si>
  <si>
    <t>total # of active users 
(renting at least once/month)</t>
  </si>
  <si>
    <t>Bezettingsgraad</t>
  </si>
  <si>
    <t>Lease (Van Mossel) +5pm (begin halverwege Feb)</t>
  </si>
  <si>
    <t>Tesla (koop)</t>
  </si>
  <si>
    <t>NIO (koop)</t>
  </si>
  <si>
    <t>Weekprijs standard</t>
  </si>
  <si>
    <t>Weekprijs premium</t>
  </si>
  <si>
    <t>extra bijgekochte kilometers (gem. 400km per extra per voertuig)</t>
  </si>
  <si>
    <t>Driveplan adoptie (eigen vloot)</t>
  </si>
  <si>
    <t>Driveplan adoptie (partners)</t>
  </si>
  <si>
    <t>Driveplan omzet</t>
  </si>
  <si>
    <t>Omzet</t>
  </si>
  <si>
    <t>(incl BTW)</t>
  </si>
  <si>
    <t>totaal aan actieve gebruikers (die minimaal 1x/maand huren)</t>
  </si>
  <si>
    <t>totale vloot</t>
  </si>
  <si>
    <t>aantal gereden kilometers</t>
  </si>
  <si>
    <t>Inkoop variabel (ROB &amp; stroom)</t>
  </si>
  <si>
    <t>Inkoop vast (Lease, verzekering, electronica &amp; BaaS)</t>
  </si>
  <si>
    <t>Totaal Inkoop</t>
  </si>
  <si>
    <t>Brutomarge</t>
  </si>
  <si>
    <t>Brutomarge (% omzet)</t>
  </si>
  <si>
    <t xml:space="preserve">    Waarvan Driveplan</t>
  </si>
  <si>
    <t>Applicatiebeheer kosten (Software, app)</t>
  </si>
  <si>
    <t>Algemene kosten (Accountancy, legal)</t>
  </si>
  <si>
    <t>Huisvestingskosten (Parkeergarage, kantoor)</t>
  </si>
  <si>
    <t>Personeelkosten (incl WBSO subsidie)</t>
  </si>
  <si>
    <t xml:space="preserve">Managementfee kosten </t>
  </si>
  <si>
    <t>Totaal Bedrijfskosten</t>
  </si>
  <si>
    <t>Investeringsbehoefte</t>
  </si>
  <si>
    <t>directe kosten</t>
  </si>
  <si>
    <t>Brutowinst</t>
  </si>
  <si>
    <t>Verkoop- en algemene kosten</t>
  </si>
  <si>
    <t>Afschrijvingen</t>
  </si>
  <si>
    <t>EBIT</t>
  </si>
  <si>
    <t>Financiele baten (lasten)</t>
  </si>
  <si>
    <t>Rente lening</t>
  </si>
  <si>
    <t xml:space="preserve">Resultaat voor belasting </t>
  </si>
  <si>
    <t>Activa</t>
  </si>
  <si>
    <t>Vaste activa</t>
  </si>
  <si>
    <t>Vlottende activa</t>
  </si>
  <si>
    <t>Liquide middelen</t>
  </si>
  <si>
    <t>Passiva</t>
  </si>
  <si>
    <t>Eigen vermogen</t>
  </si>
  <si>
    <t>Lange schulden</t>
  </si>
  <si>
    <t>Korte schulden</t>
  </si>
  <si>
    <t>inflatiecorrectie</t>
  </si>
  <si>
    <t>gereden kilometers (eigen vloot)</t>
  </si>
  <si>
    <t>2026: Opschaling en ontwikkeling van asset-light infrastructuur</t>
  </si>
  <si>
    <t>In de eerste helft van 2024 hebben we de MVP van het Blueplates-platform ontwikkeld en gelanceerd, waarmee we de inzichten uit de voorgaande pilotfase hebben vertaald naar een schaalbare technologische infrastructuur.
Parallel daaraan zijn we, met financiering van AKEF, gestart met het opbouwen van een eerste vloot voertuigen. Deze voertuigen vormen de initiële kern van het platform en maken het mogelijk om vraag en aanbod te organiseren vanuit één operationeel systeem. Rond deze kern bouwen we een flexibel netwerk van voertuigen via lease- en partnerstructuren.
Omdat de voertuigen pas tegen het einde van het jaar volledig operationeel werden binnen de nieuwe app, weerspiegelen de cijfers van 2024 grotendeels de investerings- en opstartfase. De hogere OPEX bestaat voornamelijk uit investeringen in productontwikkeling, technologie en de opbouw van de operationele infrastructuur die nodig is om het platform op schaal te laten functioneren.</t>
  </si>
  <si>
    <t>2025 stond in het teken van de volledige uitrol van het eigen Blueplates-platform en de opschaling van klantacquisitie. In deze fase hebben we onze prijsstrategie verder geoptimaliseerd om beter aan te sluiten bij een groeiende en meer langdurige klantenbasis.
Tijdens deze optimalisatieperiode lag de bezettingsgraad tijdelijk lager, terwijl we tegelijkertijd bleven investeren in productontwikkeling. Naarmate de prijsstructuur en het platform verder werden verfijnd, nam de bezettingsgraad gedurende het jaar sterk toe en bereikte deze tegen het einde van het jaar meer dan 85%.
In combinatie met het gebruik van eigen voertuigen resulteerde dit in duidelijk verbeterde operationele prestaties en een brutomarge van circa 27%.</t>
  </si>
  <si>
    <t>2024: Officiele start, platformbouw en assets</t>
  </si>
  <si>
    <t>2025: Commerciële opschaling en optimalisatie</t>
  </si>
  <si>
    <t>De eerste maanden van 2026 laten zien dat de positieve ontwikkeling zich voortzet. De focus ligt dit jaar op verdere schaalvergroting, voortbouwend op de stabiele basis die in de voorgaande jaren is gelegd.
In deze fase richten we ons nadrukkelijk op het aangaan en verdiepen van strategische partnerschappen om het aantal chauffeurs, voertuigen en klanten versneld te laten groeien. Tegelijkertijd wordt het platform verder uitgebreid, met functionaliteiten die de incentives van de drie belangrijkste partijen in het taxiecosysteem (platforms, voertuigleveranciers en chauffeurs) beter op elkaar afstemmen.
Deze aanpak ondersteunt de overgang naar een meer asset-light infrastructuur en creëert de voorwaarden voor snellere schaalbaarheid, een grotere netwerkdynamiek en verdere verbetering van de marges.</t>
  </si>
  <si>
    <t>Driveplan directe kosten (server &amp; tokens)</t>
  </si>
  <si>
    <t>Verkoopkosten (1%)</t>
  </si>
  <si>
    <t>Marketing kosten (3%)</t>
  </si>
  <si>
    <t>Onvoorzien</t>
  </si>
  <si>
    <t>Totale behoefte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</si>
</sst>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13]\ #,##0"/>
    <numFmt numFmtId="165" formatCode="\+#,###;\-#,###;#,###"/>
    <numFmt numFmtId="166" formatCode="0.000"/>
  </numFmts>
  <fonts count="17" x14ac:knownFonts="1">
    <font>
      <sz val="11"/>
      <color theme="1"/>
      <name val="Arial"/>
      <family val="2"/>
      <scheme val="minor"/>
    </font>
    <font>
      <sz val="11"/>
      <color theme="1"/>
      <name val="Arial"/>
      <family val="2"/>
      <scheme val="minor"/>
    </font>
    <font>
      <b/>
      <sz val="11"/>
      <color theme="1"/>
      <name val="Arial"/>
      <family val="2"/>
      <scheme val="minor"/>
    </font>
    <font>
      <sz val="10"/>
      <color theme="1"/>
      <name val="Arial"/>
      <family val="2"/>
      <scheme val="minor"/>
    </font>
    <font>
      <i/>
      <sz val="10"/>
      <color theme="1"/>
      <name val="Arial"/>
      <family val="2"/>
      <scheme val="minor"/>
    </font>
    <font>
      <i/>
      <sz val="9"/>
      <color theme="1"/>
      <name val="Arial"/>
      <family val="2"/>
      <scheme val="minor"/>
    </font>
    <font>
      <sz val="11"/>
      <color rgb="FF000000"/>
      <name val="Arial"/>
      <family val="2"/>
      <scheme val="minor"/>
    </font>
    <font>
      <sz val="11"/>
      <color theme="4" tint="0.59999389629810485"/>
      <name val="Arial"/>
      <family val="2"/>
      <scheme val="minor"/>
    </font>
    <font>
      <sz val="8"/>
      <name val="Arial"/>
      <family val="2"/>
      <scheme val="minor"/>
    </font>
    <font>
      <i/>
      <sz val="11"/>
      <color theme="1"/>
      <name val="Arial"/>
      <family val="2"/>
      <scheme val="minor"/>
    </font>
    <font>
      <b/>
      <sz val="12"/>
      <color theme="1"/>
      <name val="Arial"/>
      <family val="2"/>
      <scheme val="minor"/>
    </font>
    <font>
      <b/>
      <sz val="14"/>
      <color theme="1"/>
      <name val="Arial"/>
      <family val="2"/>
      <scheme val="minor"/>
    </font>
    <font>
      <sz val="12"/>
      <color theme="1"/>
      <name val="Arial"/>
      <family val="2"/>
      <scheme val="minor"/>
    </font>
    <font>
      <b/>
      <i/>
      <sz val="11"/>
      <color theme="1"/>
      <name val="Arial"/>
      <family val="2"/>
      <scheme val="minor"/>
    </font>
    <font>
      <b/>
      <sz val="11"/>
      <color theme="0"/>
      <name val="Arial"/>
      <family val="2"/>
      <scheme val="minor"/>
    </font>
    <font>
      <sz val="11"/>
      <color theme="0"/>
      <name val="Arial"/>
      <family val="2"/>
      <scheme val="minor"/>
    </font>
    <font>
      <b/>
      <i/>
      <sz val="10"/>
      <color theme="1"/>
      <name val="Arial"/>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theme="3" tint="0.249977111117893"/>
        <bgColor indexed="64"/>
      </patternFill>
    </fill>
    <fill>
      <patternFill patternType="solid">
        <fgColor theme="5"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49">
    <xf numFmtId="0" fontId="0" fillId="0" borderId="0" xfId="0"/>
    <xf numFmtId="0" fontId="0" fillId="0" borderId="0" xfId="0" applyAlignment="1">
      <alignment horizontal="center"/>
    </xf>
    <xf numFmtId="0" fontId="2" fillId="0" borderId="0" xfId="0" applyFont="1"/>
    <xf numFmtId="9" fontId="0" fillId="0" borderId="0" xfId="1" applyFont="1" applyAlignment="1">
      <alignment horizontal="center"/>
    </xf>
    <xf numFmtId="0" fontId="7" fillId="0" borderId="0" xfId="0" applyFont="1"/>
    <xf numFmtId="4" fontId="0" fillId="0" borderId="0" xfId="0" applyNumberFormat="1"/>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right" vertical="center"/>
    </xf>
    <xf numFmtId="9" fontId="6" fillId="0" borderId="0" xfId="0" applyNumberFormat="1" applyFont="1" applyAlignment="1">
      <alignment horizontal="center" vertical="center"/>
    </xf>
    <xf numFmtId="9" fontId="0" fillId="0" borderId="0" xfId="0" applyNumberFormat="1" applyAlignment="1">
      <alignment horizontal="center" vertical="center"/>
    </xf>
    <xf numFmtId="3" fontId="0" fillId="0" borderId="0" xfId="0" applyNumberFormat="1" applyAlignment="1">
      <alignment horizontal="center" vertical="center"/>
    </xf>
    <xf numFmtId="3" fontId="2" fillId="0" borderId="0" xfId="0" applyNumberFormat="1" applyFont="1" applyAlignment="1">
      <alignment vertical="center"/>
    </xf>
    <xf numFmtId="0" fontId="2" fillId="0" borderId="0" xfId="0" applyFont="1" applyAlignment="1">
      <alignment vertical="center"/>
    </xf>
    <xf numFmtId="0" fontId="4" fillId="0" borderId="0" xfId="0" applyFont="1" applyAlignment="1">
      <alignment vertical="center"/>
    </xf>
    <xf numFmtId="3" fontId="0" fillId="0" borderId="0" xfId="0" applyNumberFormat="1" applyAlignment="1">
      <alignment vertical="center"/>
    </xf>
    <xf numFmtId="3" fontId="3" fillId="0" borderId="0" xfId="0" applyNumberFormat="1" applyFont="1" applyAlignment="1">
      <alignment vertical="center"/>
    </xf>
    <xf numFmtId="3" fontId="4" fillId="0" borderId="0" xfId="0" applyNumberFormat="1" applyFont="1" applyAlignment="1">
      <alignment horizontal="center" vertical="center"/>
    </xf>
    <xf numFmtId="1" fontId="0" fillId="0" borderId="0" xfId="0" applyNumberFormat="1" applyAlignment="1">
      <alignment horizontal="center" vertical="center"/>
    </xf>
    <xf numFmtId="1" fontId="5" fillId="0" borderId="0" xfId="0" applyNumberFormat="1" applyFont="1" applyAlignment="1">
      <alignment horizontal="center" vertical="center"/>
    </xf>
    <xf numFmtId="164" fontId="0" fillId="0" borderId="0" xfId="0" applyNumberFormat="1" applyAlignment="1">
      <alignment horizontal="center" vertical="center"/>
    </xf>
    <xf numFmtId="0" fontId="0" fillId="0" borderId="0" xfId="0" applyAlignment="1">
      <alignment wrapText="1"/>
    </xf>
    <xf numFmtId="0" fontId="9" fillId="0" borderId="0" xfId="0" applyFont="1" applyAlignment="1">
      <alignment vertical="center"/>
    </xf>
    <xf numFmtId="0" fontId="11" fillId="0" borderId="0" xfId="0" applyFont="1" applyAlignment="1">
      <alignment horizontal="center" vertical="center"/>
    </xf>
    <xf numFmtId="0" fontId="10" fillId="0" borderId="0" xfId="0" applyFont="1" applyAlignment="1">
      <alignment vertical="center"/>
    </xf>
    <xf numFmtId="3" fontId="10" fillId="0" borderId="0" xfId="0" applyNumberFormat="1" applyFont="1" applyAlignment="1">
      <alignment horizontal="center" vertical="center"/>
    </xf>
    <xf numFmtId="3" fontId="10" fillId="0" borderId="0" xfId="0" applyNumberFormat="1" applyFont="1" applyAlignment="1">
      <alignment vertical="center"/>
    </xf>
    <xf numFmtId="0" fontId="12" fillId="0" borderId="0" xfId="0" applyFont="1" applyAlignment="1">
      <alignment vertical="center"/>
    </xf>
    <xf numFmtId="9" fontId="12" fillId="0" borderId="0" xfId="1" applyFont="1" applyAlignment="1">
      <alignment vertical="center"/>
    </xf>
    <xf numFmtId="0" fontId="9" fillId="0" borderId="0" xfId="0" applyFont="1" applyAlignment="1">
      <alignment vertical="center" wrapText="1"/>
    </xf>
    <xf numFmtId="0" fontId="3" fillId="0" borderId="0" xfId="0" applyFont="1" applyAlignment="1">
      <alignment vertical="center"/>
    </xf>
    <xf numFmtId="3" fontId="2" fillId="2" borderId="0" xfId="0" applyNumberFormat="1" applyFont="1" applyFill="1" applyAlignment="1">
      <alignment vertical="center"/>
    </xf>
    <xf numFmtId="0" fontId="13" fillId="2" borderId="0" xfId="0" applyFont="1" applyFill="1" applyAlignment="1">
      <alignment vertical="center"/>
    </xf>
    <xf numFmtId="0" fontId="14" fillId="3" borderId="0" xfId="0" applyFont="1" applyFill="1" applyAlignment="1">
      <alignment wrapText="1"/>
    </xf>
    <xf numFmtId="3" fontId="2" fillId="0" borderId="0" xfId="0" applyNumberFormat="1" applyFont="1"/>
    <xf numFmtId="3" fontId="0" fillId="0" borderId="0" xfId="0" applyNumberFormat="1"/>
    <xf numFmtId="0" fontId="15" fillId="3" borderId="0" xfId="0" applyFont="1" applyFill="1"/>
    <xf numFmtId="15" fontId="14" fillId="3" borderId="0" xfId="0" applyNumberFormat="1" applyFont="1" applyFill="1" applyAlignment="1">
      <alignment wrapText="1"/>
    </xf>
    <xf numFmtId="0" fontId="0" fillId="0" borderId="0" xfId="0" applyAlignment="1">
      <alignment horizontal="right" vertical="center"/>
    </xf>
    <xf numFmtId="165" fontId="0" fillId="0" borderId="0" xfId="0" applyNumberFormat="1" applyAlignment="1">
      <alignment vertical="center"/>
    </xf>
    <xf numFmtId="165" fontId="2" fillId="0" borderId="0" xfId="0" applyNumberFormat="1" applyFont="1" applyAlignment="1">
      <alignment vertical="center"/>
    </xf>
    <xf numFmtId="0" fontId="9" fillId="0" borderId="0" xfId="0" applyFont="1" applyAlignment="1">
      <alignment horizontal="right" vertical="center"/>
    </xf>
    <xf numFmtId="3" fontId="5" fillId="0" borderId="0" xfId="0" applyNumberFormat="1" applyFont="1" applyAlignment="1">
      <alignment horizontal="center" vertical="center"/>
    </xf>
    <xf numFmtId="166" fontId="9" fillId="0" borderId="0" xfId="0" applyNumberFormat="1" applyFont="1" applyAlignment="1">
      <alignment vertical="center"/>
    </xf>
    <xf numFmtId="0" fontId="14" fillId="4" borderId="0" xfId="0" applyFont="1" applyFill="1" applyAlignment="1">
      <alignment wrapText="1"/>
    </xf>
    <xf numFmtId="0" fontId="2" fillId="0" borderId="0" xfId="0" applyFont="1" applyAlignment="1">
      <alignment wrapText="1"/>
    </xf>
    <xf numFmtId="0" fontId="0" fillId="0" borderId="0" xfId="0" applyAlignment="1">
      <alignment vertical="center" wrapText="1"/>
    </xf>
    <xf numFmtId="0" fontId="13" fillId="0" borderId="0" xfId="0" applyFont="1" applyAlignment="1">
      <alignment vertical="center"/>
    </xf>
    <xf numFmtId="3" fontId="16" fillId="0" borderId="0" xfId="0" applyNumberFormat="1" applyFont="1" applyAlignment="1">
      <alignment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TGF">
  <a:themeElements>
    <a:clrScheme name="Global Fund">
      <a:dk1>
        <a:sysClr val="windowText" lastClr="000000"/>
      </a:dk1>
      <a:lt1>
        <a:sysClr val="window" lastClr="FFFFFF"/>
      </a:lt1>
      <a:dk2>
        <a:srgbClr val="939393"/>
      </a:dk2>
      <a:lt2>
        <a:srgbClr val="D1D3D4"/>
      </a:lt2>
      <a:accent1>
        <a:srgbClr val="EE0C3D"/>
      </a:accent1>
      <a:accent2>
        <a:srgbClr val="2E4DF9"/>
      </a:accent2>
      <a:accent3>
        <a:srgbClr val="F6DE00"/>
      </a:accent3>
      <a:accent4>
        <a:srgbClr val="44CC36"/>
      </a:accent4>
      <a:accent5>
        <a:srgbClr val="FC9B00"/>
      </a:accent5>
      <a:accent6>
        <a:srgbClr val="8C29D3"/>
      </a:accent6>
      <a:hlink>
        <a:srgbClr val="2E4DF9"/>
      </a:hlink>
      <a:folHlink>
        <a:srgbClr val="2E4DF9"/>
      </a:folHlink>
    </a:clrScheme>
    <a:fontScheme name="_Global Fund">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A799C-F3D2-4ADB-B719-4584ACCB715D}">
  <dimension ref="B2:D10"/>
  <sheetViews>
    <sheetView showGridLines="0" zoomScale="200" zoomScaleNormal="200" workbookViewId="0">
      <selection activeCell="C12" sqref="C12"/>
    </sheetView>
  </sheetViews>
  <sheetFormatPr baseColWidth="10" defaultColWidth="8.83203125" defaultRowHeight="14" x14ac:dyDescent="0.15"/>
  <cols>
    <col min="1" max="1" width="3.6640625" customWidth="1"/>
    <col min="2" max="2" width="26.1640625" bestFit="1" customWidth="1"/>
    <col min="4" max="4" width="17.33203125" bestFit="1" customWidth="1"/>
  </cols>
  <sheetData>
    <row r="2" spans="2:4" x14ac:dyDescent="0.15">
      <c r="B2" s="2" t="s">
        <v>11</v>
      </c>
    </row>
    <row r="3" spans="2:4" x14ac:dyDescent="0.15">
      <c r="B3" t="s">
        <v>7</v>
      </c>
      <c r="C3" s="3">
        <v>0.15</v>
      </c>
      <c r="D3" t="s">
        <v>12</v>
      </c>
    </row>
    <row r="4" spans="2:4" x14ac:dyDescent="0.15">
      <c r="B4" t="s">
        <v>8</v>
      </c>
      <c r="C4" s="1" t="s">
        <v>9</v>
      </c>
      <c r="D4" t="s">
        <v>10</v>
      </c>
    </row>
    <row r="5" spans="2:4" x14ac:dyDescent="0.15">
      <c r="B5" t="s">
        <v>13</v>
      </c>
      <c r="C5" s="1" t="s">
        <v>9</v>
      </c>
      <c r="D5" t="s">
        <v>10</v>
      </c>
    </row>
    <row r="6" spans="2:4" hidden="1" x14ac:dyDescent="0.15">
      <c r="B6" s="4"/>
      <c r="C6" s="1"/>
      <c r="D6" s="4"/>
    </row>
    <row r="7" spans="2:4" hidden="1" x14ac:dyDescent="0.15">
      <c r="B7" s="4"/>
      <c r="C7" s="1"/>
      <c r="D7" s="4"/>
    </row>
    <row r="8" spans="2:4" hidden="1" x14ac:dyDescent="0.15">
      <c r="C8" s="1"/>
    </row>
    <row r="9" spans="2:4" x14ac:dyDescent="0.15">
      <c r="B9" t="s">
        <v>20</v>
      </c>
      <c r="C9" s="5">
        <v>801</v>
      </c>
    </row>
    <row r="10" spans="2:4" x14ac:dyDescent="0.15">
      <c r="B10" t="s">
        <v>54</v>
      </c>
      <c r="C10">
        <v>1.4</v>
      </c>
    </row>
  </sheetData>
  <dataValidations count="2">
    <dataValidation type="list" allowBlank="1" showInputMessage="1" showErrorMessage="1" sqref="C6" xr:uid="{9BB2D26E-DB04-4BE8-AD4D-9AC0DF252B76}">
      <formula1>"350k,500k,1M"</formula1>
    </dataValidation>
    <dataValidation type="list" allowBlank="1" showInputMessage="1" showErrorMessage="1" sqref="C7" xr:uid="{6B7B6178-87B8-44FC-90DF-A46134406E17}">
      <formula1>"150k,200k,250k"</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15F6F-C71C-A441-9086-98C8112EE96B}">
  <dimension ref="B2:B9"/>
  <sheetViews>
    <sheetView showGridLines="0" zoomScale="150" zoomScaleNormal="150" workbookViewId="0">
      <selection activeCell="B3" sqref="B3"/>
    </sheetView>
  </sheetViews>
  <sheetFormatPr baseColWidth="10" defaultRowHeight="14" x14ac:dyDescent="0.15"/>
  <cols>
    <col min="1" max="1" width="3.5" customWidth="1"/>
    <col min="2" max="2" width="89.33203125" customWidth="1"/>
  </cols>
  <sheetData>
    <row r="2" spans="2:2" ht="15" x14ac:dyDescent="0.15">
      <c r="B2" s="45" t="s">
        <v>106</v>
      </c>
    </row>
    <row r="3" spans="2:2" ht="195" x14ac:dyDescent="0.15">
      <c r="B3" s="21" t="s">
        <v>104</v>
      </c>
    </row>
    <row r="4" spans="2:2" x14ac:dyDescent="0.15">
      <c r="B4" s="21"/>
    </row>
    <row r="5" spans="2:2" ht="15" x14ac:dyDescent="0.15">
      <c r="B5" s="45" t="s">
        <v>107</v>
      </c>
    </row>
    <row r="6" spans="2:2" ht="165" x14ac:dyDescent="0.15">
      <c r="B6" s="21" t="s">
        <v>105</v>
      </c>
    </row>
    <row r="7" spans="2:2" x14ac:dyDescent="0.15">
      <c r="B7" s="21"/>
    </row>
    <row r="8" spans="2:2" ht="15" x14ac:dyDescent="0.15">
      <c r="B8" s="45" t="s">
        <v>103</v>
      </c>
    </row>
    <row r="9" spans="2:2" ht="165" x14ac:dyDescent="0.15">
      <c r="B9" s="46" t="s">
        <v>108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8AA6-81C7-E342-A281-AA48F66E95BF}">
  <dimension ref="B2:G27"/>
  <sheetViews>
    <sheetView showGridLines="0" zoomScale="140" zoomScaleNormal="140" workbookViewId="0">
      <selection activeCell="H12" sqref="H12"/>
    </sheetView>
  </sheetViews>
  <sheetFormatPr baseColWidth="10" defaultRowHeight="14" x14ac:dyDescent="0.15"/>
  <cols>
    <col min="1" max="1" width="3.83203125" customWidth="1"/>
    <col min="2" max="2" width="26.6640625" bestFit="1" customWidth="1"/>
    <col min="3" max="4" width="13.1640625" customWidth="1"/>
    <col min="5" max="7" width="11.6640625" bestFit="1" customWidth="1"/>
  </cols>
  <sheetData>
    <row r="2" spans="2:7" x14ac:dyDescent="0.15">
      <c r="C2" s="33">
        <v>2024</v>
      </c>
      <c r="D2" s="33">
        <v>2025</v>
      </c>
      <c r="E2" s="44">
        <v>2026</v>
      </c>
      <c r="F2" s="44">
        <v>2027</v>
      </c>
      <c r="G2" s="44">
        <v>2028</v>
      </c>
    </row>
    <row r="3" spans="2:7" x14ac:dyDescent="0.15">
      <c r="B3" s="2" t="s">
        <v>67</v>
      </c>
      <c r="C3" s="34">
        <v>300851</v>
      </c>
      <c r="D3" s="34">
        <v>375382.25314049586</v>
      </c>
      <c r="E3" s="34">
        <f>SUMIFS(Forecast!$C$16:$V$16,Forecast!$C$3:$V$3,Jaarcijfers!E$2)</f>
        <v>1048166.0140520829</v>
      </c>
      <c r="F3" s="34">
        <f>SUMIFS(Forecast!$C$16:$V$16,Forecast!$C$3:$V$3,Jaarcijfers!F$2)</f>
        <v>2890113.784046249</v>
      </c>
      <c r="G3" s="34">
        <f>SUMIFS(Forecast!$C$16:$V$16,Forecast!$C$3:$V$3,Jaarcijfers!G$2)</f>
        <v>6190329.537476249</v>
      </c>
    </row>
    <row r="4" spans="2:7" x14ac:dyDescent="0.15">
      <c r="B4" t="s">
        <v>85</v>
      </c>
      <c r="C4" s="35">
        <v>312555</v>
      </c>
      <c r="D4" s="35">
        <v>272906.63</v>
      </c>
      <c r="E4" s="35">
        <f>SUMIFS(Forecast!$C$27:$V$27,Forecast!$C$3:$V$3,Jaarcijfers!E$2)</f>
        <v>694384.30574999982</v>
      </c>
      <c r="F4" s="35">
        <f>SUMIFS(Forecast!$C$27:$V$27,Forecast!$C$3:$V$3,Jaarcijfers!F$2)</f>
        <v>1634831.8436249993</v>
      </c>
      <c r="G4" s="35">
        <f>SUMIFS(Forecast!$C$27:$V$27,Forecast!$C$3:$V$3,Jaarcijfers!G$2)</f>
        <v>2653910.8346249997</v>
      </c>
    </row>
    <row r="5" spans="2:7" x14ac:dyDescent="0.15">
      <c r="B5" s="2" t="s">
        <v>86</v>
      </c>
      <c r="C5" s="34">
        <f t="shared" ref="C5:G5" si="0">C3-C4</f>
        <v>-11704</v>
      </c>
      <c r="D5" s="34">
        <f t="shared" si="0"/>
        <v>102475.62314049585</v>
      </c>
      <c r="E5" s="34">
        <f t="shared" si="0"/>
        <v>353781.70830208308</v>
      </c>
      <c r="F5" s="34">
        <f t="shared" si="0"/>
        <v>1255281.9404212497</v>
      </c>
      <c r="G5" s="34">
        <f t="shared" si="0"/>
        <v>3536418.7028512494</v>
      </c>
    </row>
    <row r="6" spans="2:7" x14ac:dyDescent="0.15">
      <c r="B6" t="s">
        <v>87</v>
      </c>
      <c r="C6" s="35">
        <v>287811</v>
      </c>
      <c r="D6" s="35">
        <v>578389.37</v>
      </c>
      <c r="E6" s="35">
        <f>SUMIFS(Forecast!$C$40:$V$40,Forecast!$C$3:$V$3,Jaarcijfers!E$2)</f>
        <v>628814.96981833782</v>
      </c>
      <c r="F6" s="35">
        <f>SUMIFS(Forecast!$C$40:$V$40,Forecast!$C$3:$V$3,Jaarcijfers!F$2)</f>
        <v>946855.34469321813</v>
      </c>
      <c r="G6" s="35">
        <f>SUMIFS(Forecast!$C$40:$V$40,Forecast!$C$3:$V$3,Jaarcijfers!G$2)</f>
        <v>1104133.1253083996</v>
      </c>
    </row>
    <row r="7" spans="2:7" x14ac:dyDescent="0.15">
      <c r="B7" s="2" t="s">
        <v>21</v>
      </c>
      <c r="C7" s="34">
        <f t="shared" ref="C7:G7" si="1">C5-C6</f>
        <v>-299515</v>
      </c>
      <c r="D7" s="34">
        <f t="shared" si="1"/>
        <v>-475913.74685950414</v>
      </c>
      <c r="E7" s="34">
        <f t="shared" si="1"/>
        <v>-275033.26151625474</v>
      </c>
      <c r="F7" s="34">
        <f t="shared" si="1"/>
        <v>308426.59572803159</v>
      </c>
      <c r="G7" s="34">
        <f t="shared" si="1"/>
        <v>2432285.5775428498</v>
      </c>
    </row>
    <row r="8" spans="2:7" x14ac:dyDescent="0.15">
      <c r="B8" t="s">
        <v>88</v>
      </c>
      <c r="C8" s="35">
        <v>9638</v>
      </c>
      <c r="D8" s="35">
        <v>83537.649999999994</v>
      </c>
      <c r="E8" s="35"/>
      <c r="F8" s="35"/>
      <c r="G8" s="35"/>
    </row>
    <row r="9" spans="2:7" x14ac:dyDescent="0.15">
      <c r="B9" s="2" t="s">
        <v>89</v>
      </c>
      <c r="C9" s="34">
        <f t="shared" ref="C9:D9" si="2">C7-C8</f>
        <v>-309153</v>
      </c>
      <c r="D9" s="34">
        <f t="shared" si="2"/>
        <v>-559451.39685950417</v>
      </c>
      <c r="E9" s="34"/>
      <c r="F9" s="34"/>
      <c r="G9" s="34"/>
    </row>
    <row r="10" spans="2:7" x14ac:dyDescent="0.15">
      <c r="B10" t="s">
        <v>90</v>
      </c>
      <c r="C10" s="35"/>
      <c r="D10" s="35">
        <v>2435.79</v>
      </c>
    </row>
    <row r="11" spans="2:7" x14ac:dyDescent="0.15">
      <c r="B11" t="s">
        <v>91</v>
      </c>
      <c r="C11" s="35">
        <v>62948</v>
      </c>
      <c r="D11" s="35">
        <v>104165.81</v>
      </c>
    </row>
    <row r="12" spans="2:7" x14ac:dyDescent="0.15">
      <c r="B12" s="2" t="s">
        <v>92</v>
      </c>
      <c r="C12" s="34">
        <f t="shared" ref="C12:D12" si="3">C9-C10-C11</f>
        <v>-372101</v>
      </c>
      <c r="D12" s="34">
        <f t="shared" si="3"/>
        <v>-666052.99685950414</v>
      </c>
      <c r="E12" s="34"/>
      <c r="F12" s="34"/>
      <c r="G12" s="34"/>
    </row>
    <row r="16" spans="2:7" x14ac:dyDescent="0.15">
      <c r="B16" s="36"/>
      <c r="C16" s="37">
        <v>45657</v>
      </c>
      <c r="D16" s="37">
        <v>46022</v>
      </c>
    </row>
    <row r="17" spans="2:4" x14ac:dyDescent="0.15">
      <c r="B17" s="8" t="s">
        <v>93</v>
      </c>
      <c r="C17" s="6"/>
      <c r="D17" s="6"/>
    </row>
    <row r="18" spans="2:4" x14ac:dyDescent="0.15">
      <c r="B18" s="38" t="s">
        <v>94</v>
      </c>
      <c r="C18" s="39">
        <f>1299597+87780+149</f>
        <v>1387526</v>
      </c>
      <c r="D18" s="39">
        <v>1297732.6500000001</v>
      </c>
    </row>
    <row r="19" spans="2:4" x14ac:dyDescent="0.15">
      <c r="B19" s="38" t="s">
        <v>95</v>
      </c>
      <c r="C19" s="39">
        <v>288819</v>
      </c>
      <c r="D19" s="39">
        <v>414931.60000000015</v>
      </c>
    </row>
    <row r="20" spans="2:4" x14ac:dyDescent="0.15">
      <c r="B20" s="38" t="s">
        <v>96</v>
      </c>
      <c r="C20" s="39">
        <v>38343</v>
      </c>
      <c r="D20" s="39">
        <v>22948.25</v>
      </c>
    </row>
    <row r="21" spans="2:4" x14ac:dyDescent="0.15">
      <c r="B21" s="6"/>
      <c r="C21" s="40">
        <f>SUM(C18:C20)</f>
        <v>1714688</v>
      </c>
      <c r="D21" s="40">
        <v>1735612.5000000002</v>
      </c>
    </row>
    <row r="22" spans="2:4" x14ac:dyDescent="0.15">
      <c r="B22" s="6"/>
      <c r="C22" s="6"/>
      <c r="D22" s="6"/>
    </row>
    <row r="23" spans="2:4" x14ac:dyDescent="0.15">
      <c r="B23" s="8" t="s">
        <v>97</v>
      </c>
      <c r="C23" s="6"/>
      <c r="D23" s="6"/>
    </row>
    <row r="24" spans="2:4" x14ac:dyDescent="0.15">
      <c r="B24" s="38" t="s">
        <v>98</v>
      </c>
      <c r="C24" s="39">
        <f>-379215+372116</f>
        <v>-7099</v>
      </c>
      <c r="D24" s="39">
        <v>-543409.03</v>
      </c>
    </row>
    <row r="25" spans="2:4" x14ac:dyDescent="0.15">
      <c r="B25" s="38" t="s">
        <v>99</v>
      </c>
      <c r="C25" s="39">
        <f>968094+187233</f>
        <v>1155327</v>
      </c>
      <c r="D25" s="39">
        <v>1746307.48</v>
      </c>
    </row>
    <row r="26" spans="2:4" x14ac:dyDescent="0.15">
      <c r="B26" s="38" t="s">
        <v>100</v>
      </c>
      <c r="C26" s="39">
        <v>566460</v>
      </c>
      <c r="D26" s="39">
        <v>532714.05000000005</v>
      </c>
    </row>
    <row r="27" spans="2:4" x14ac:dyDescent="0.15">
      <c r="B27" s="6"/>
      <c r="C27" s="40">
        <f>SUM(C24:C26)</f>
        <v>1714688</v>
      </c>
      <c r="D27" s="40">
        <v>1735612.5</v>
      </c>
    </row>
  </sheetData>
  <pageMargins left="0.7" right="0.7" top="0.75" bottom="0.75" header="0.3" footer="0.3"/>
  <ignoredErrors>
    <ignoredError sqref="E6:G6"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40804-CFAB-4263-BDBE-FCB8918DE7C8}">
  <dimension ref="A1:Z47"/>
  <sheetViews>
    <sheetView showGridLines="0" tabSelected="1" topLeftCell="B1" zoomScale="110" zoomScaleNormal="110" workbookViewId="0">
      <selection activeCell="F46" sqref="F46"/>
    </sheetView>
  </sheetViews>
  <sheetFormatPr baseColWidth="10" defaultColWidth="8.83203125" defaultRowHeight="14" x14ac:dyDescent="0.15"/>
  <cols>
    <col min="1" max="1" width="43.6640625" style="6" hidden="1" customWidth="1"/>
    <col min="2" max="2" width="43.6640625" style="6" customWidth="1"/>
    <col min="3" max="14" width="9.6640625" style="6" customWidth="1"/>
    <col min="15" max="15" width="9.33203125" style="6" customWidth="1"/>
    <col min="16" max="18" width="11" style="6" bestFit="1" customWidth="1"/>
    <col min="19" max="22" width="10.5" style="6" customWidth="1"/>
    <col min="23" max="16384" width="8.83203125" style="6"/>
  </cols>
  <sheetData>
    <row r="1" spans="1:25" x14ac:dyDescent="0.15">
      <c r="B1" s="41" t="s">
        <v>101</v>
      </c>
      <c r="C1" s="43">
        <v>1</v>
      </c>
      <c r="D1" s="43">
        <v>1.0024999999999999</v>
      </c>
      <c r="E1" s="43">
        <v>1.0049999999999999</v>
      </c>
      <c r="F1" s="43">
        <v>1.0074999999999998</v>
      </c>
      <c r="G1" s="43">
        <v>1.0099999999999998</v>
      </c>
      <c r="H1" s="43">
        <v>1.0124999999999997</v>
      </c>
      <c r="I1" s="43">
        <v>1.0149999999999997</v>
      </c>
      <c r="J1" s="43">
        <v>1.0174999999999996</v>
      </c>
      <c r="K1" s="43">
        <v>1.0199999999999996</v>
      </c>
      <c r="L1" s="43">
        <v>1.0224999999999995</v>
      </c>
      <c r="M1" s="43">
        <v>1.0249999999999995</v>
      </c>
      <c r="N1" s="43">
        <v>1.0274999999999994</v>
      </c>
      <c r="O1" s="43">
        <v>1.0349999999999995</v>
      </c>
      <c r="P1" s="43">
        <v>1.0424999999999995</v>
      </c>
      <c r="Q1" s="43">
        <v>1.0499999999999996</v>
      </c>
      <c r="R1" s="43">
        <v>1.0574999999999997</v>
      </c>
      <c r="S1" s="43">
        <v>1.0649999999999997</v>
      </c>
      <c r="T1" s="43">
        <v>1.0724999999999998</v>
      </c>
      <c r="U1" s="43">
        <v>1.0799999999999998</v>
      </c>
      <c r="V1" s="43">
        <v>1.0874999999999999</v>
      </c>
    </row>
    <row r="3" spans="1:25" ht="18" x14ac:dyDescent="0.15">
      <c r="C3" s="23">
        <v>2026</v>
      </c>
      <c r="D3" s="23">
        <v>2026</v>
      </c>
      <c r="E3" s="23">
        <v>2026</v>
      </c>
      <c r="F3" s="23">
        <v>2026</v>
      </c>
      <c r="G3" s="23">
        <v>2026</v>
      </c>
      <c r="H3" s="23">
        <v>2026</v>
      </c>
      <c r="I3" s="23">
        <v>2026</v>
      </c>
      <c r="J3" s="23">
        <v>2026</v>
      </c>
      <c r="K3" s="23">
        <v>2026</v>
      </c>
      <c r="L3" s="23">
        <v>2026</v>
      </c>
      <c r="M3" s="23">
        <v>2026</v>
      </c>
      <c r="N3" s="23">
        <v>2026</v>
      </c>
      <c r="O3" s="23">
        <v>2027</v>
      </c>
      <c r="P3" s="23">
        <v>2027</v>
      </c>
      <c r="Q3" s="23">
        <v>2027</v>
      </c>
      <c r="R3" s="23">
        <v>2027</v>
      </c>
      <c r="S3" s="23">
        <v>2028</v>
      </c>
      <c r="T3" s="23">
        <v>2028</v>
      </c>
      <c r="U3" s="23">
        <v>2028</v>
      </c>
      <c r="V3" s="23">
        <v>2028</v>
      </c>
    </row>
    <row r="4" spans="1:25" ht="18" x14ac:dyDescent="0.15">
      <c r="C4" s="23" t="s">
        <v>4</v>
      </c>
      <c r="D4" s="23" t="s">
        <v>5</v>
      </c>
      <c r="E4" s="23" t="s">
        <v>6</v>
      </c>
      <c r="F4" s="23" t="s">
        <v>15</v>
      </c>
      <c r="G4" s="23" t="s">
        <v>16</v>
      </c>
      <c r="H4" s="23" t="s">
        <v>17</v>
      </c>
      <c r="I4" s="23" t="s">
        <v>18</v>
      </c>
      <c r="J4" s="23" t="s">
        <v>19</v>
      </c>
      <c r="K4" s="23" t="s">
        <v>0</v>
      </c>
      <c r="L4" s="23" t="s">
        <v>1</v>
      </c>
      <c r="M4" s="23" t="s">
        <v>2</v>
      </c>
      <c r="N4" s="23" t="s">
        <v>3</v>
      </c>
      <c r="O4" s="23" t="s">
        <v>22</v>
      </c>
      <c r="P4" s="23" t="s">
        <v>23</v>
      </c>
      <c r="Q4" s="23" t="s">
        <v>24</v>
      </c>
      <c r="R4" s="23" t="s">
        <v>25</v>
      </c>
      <c r="S4" s="23" t="s">
        <v>22</v>
      </c>
      <c r="T4" s="23" t="s">
        <v>23</v>
      </c>
      <c r="U4" s="23" t="s">
        <v>24</v>
      </c>
      <c r="V4" s="23" t="s">
        <v>25</v>
      </c>
    </row>
    <row r="5" spans="1:25" x14ac:dyDescent="0.15">
      <c r="A5" s="6" t="s">
        <v>26</v>
      </c>
      <c r="B5" s="6" t="s">
        <v>57</v>
      </c>
      <c r="C5" s="9">
        <v>0.85</v>
      </c>
      <c r="D5" s="9">
        <v>0.85</v>
      </c>
      <c r="E5" s="9">
        <v>0.85</v>
      </c>
      <c r="F5" s="10">
        <v>0.9</v>
      </c>
      <c r="G5" s="10">
        <v>0.9</v>
      </c>
      <c r="H5" s="10">
        <v>0.9</v>
      </c>
      <c r="I5" s="10">
        <v>0.85</v>
      </c>
      <c r="J5" s="10">
        <v>0.85</v>
      </c>
      <c r="K5" s="10">
        <v>0.95</v>
      </c>
      <c r="L5" s="10">
        <v>0.95</v>
      </c>
      <c r="M5" s="10">
        <v>0.95</v>
      </c>
      <c r="N5" s="10">
        <v>0.95</v>
      </c>
      <c r="O5" s="10">
        <v>0.95</v>
      </c>
      <c r="P5" s="10">
        <v>0.95</v>
      </c>
      <c r="Q5" s="10">
        <v>0.95</v>
      </c>
      <c r="R5" s="10">
        <v>0.95</v>
      </c>
      <c r="S5" s="10">
        <v>0.95</v>
      </c>
      <c r="T5" s="10">
        <v>0.95</v>
      </c>
      <c r="U5" s="10">
        <v>0.95</v>
      </c>
      <c r="V5" s="10">
        <v>0.95</v>
      </c>
      <c r="X5"/>
      <c r="Y5"/>
    </row>
    <row r="6" spans="1:25" x14ac:dyDescent="0.15">
      <c r="A6" s="6" t="s">
        <v>14</v>
      </c>
      <c r="B6" s="6" t="s">
        <v>14</v>
      </c>
      <c r="C6" s="7">
        <v>4</v>
      </c>
      <c r="D6" s="7">
        <v>4</v>
      </c>
      <c r="E6" s="7">
        <v>4</v>
      </c>
      <c r="F6" s="7">
        <v>4</v>
      </c>
      <c r="G6" s="7">
        <v>4</v>
      </c>
      <c r="H6" s="7">
        <v>4</v>
      </c>
      <c r="I6" s="7">
        <v>4</v>
      </c>
      <c r="J6" s="7">
        <v>4</v>
      </c>
      <c r="K6" s="7">
        <v>4</v>
      </c>
      <c r="L6" s="7">
        <v>4</v>
      </c>
      <c r="M6" s="7">
        <v>4</v>
      </c>
      <c r="N6" s="7">
        <v>4</v>
      </c>
      <c r="O6" s="7">
        <v>4</v>
      </c>
      <c r="P6" s="7">
        <v>4</v>
      </c>
      <c r="Q6" s="7">
        <v>4</v>
      </c>
      <c r="R6" s="7">
        <v>4</v>
      </c>
      <c r="S6" s="7">
        <v>4</v>
      </c>
      <c r="T6" s="7">
        <v>4</v>
      </c>
      <c r="U6" s="7">
        <v>4</v>
      </c>
      <c r="V6" s="7">
        <v>4</v>
      </c>
      <c r="X6" s="2"/>
      <c r="Y6" s="2"/>
    </row>
    <row r="7" spans="1:25" x14ac:dyDescent="0.15">
      <c r="A7" s="6" t="s">
        <v>30</v>
      </c>
      <c r="B7" s="6" t="s">
        <v>58</v>
      </c>
      <c r="C7" s="7">
        <v>0</v>
      </c>
      <c r="D7" s="18">
        <v>2.5</v>
      </c>
      <c r="E7" s="18">
        <f>D7+5</f>
        <v>7.5</v>
      </c>
      <c r="F7" s="18">
        <f>E7+5</f>
        <v>12.5</v>
      </c>
      <c r="G7" s="18">
        <f t="shared" ref="G7:N7" si="0">F7+5</f>
        <v>17.5</v>
      </c>
      <c r="H7" s="18">
        <f t="shared" si="0"/>
        <v>22.5</v>
      </c>
      <c r="I7" s="18">
        <f t="shared" si="0"/>
        <v>27.5</v>
      </c>
      <c r="J7" s="18">
        <f t="shared" si="0"/>
        <v>32.5</v>
      </c>
      <c r="K7" s="18">
        <f t="shared" si="0"/>
        <v>37.5</v>
      </c>
      <c r="L7" s="18">
        <f t="shared" si="0"/>
        <v>42.5</v>
      </c>
      <c r="M7" s="18">
        <f t="shared" si="0"/>
        <v>47.5</v>
      </c>
      <c r="N7" s="18">
        <f t="shared" si="0"/>
        <v>52.5</v>
      </c>
      <c r="O7" s="18">
        <f>N7+10</f>
        <v>62.5</v>
      </c>
      <c r="P7" s="18">
        <f t="shared" ref="P7:V7" si="1">O7+15</f>
        <v>77.5</v>
      </c>
      <c r="Q7" s="18">
        <f t="shared" si="1"/>
        <v>92.5</v>
      </c>
      <c r="R7" s="18">
        <f t="shared" si="1"/>
        <v>107.5</v>
      </c>
      <c r="S7" s="18">
        <f t="shared" si="1"/>
        <v>122.5</v>
      </c>
      <c r="T7" s="18">
        <f t="shared" si="1"/>
        <v>137.5</v>
      </c>
      <c r="U7" s="18">
        <f t="shared" si="1"/>
        <v>152.5</v>
      </c>
      <c r="V7" s="18">
        <f t="shared" si="1"/>
        <v>167.5</v>
      </c>
      <c r="X7"/>
      <c r="Y7"/>
    </row>
    <row r="8" spans="1:25" x14ac:dyDescent="0.15">
      <c r="A8" s="6" t="s">
        <v>31</v>
      </c>
      <c r="B8" s="6" t="s">
        <v>59</v>
      </c>
      <c r="C8" s="7">
        <v>5</v>
      </c>
      <c r="D8" s="7">
        <v>5</v>
      </c>
      <c r="E8" s="7">
        <v>5</v>
      </c>
      <c r="F8" s="7">
        <v>9</v>
      </c>
      <c r="G8" s="7">
        <f t="shared" ref="G8:V8" si="2">F8</f>
        <v>9</v>
      </c>
      <c r="H8" s="7">
        <f t="shared" si="2"/>
        <v>9</v>
      </c>
      <c r="I8" s="7">
        <f t="shared" si="2"/>
        <v>9</v>
      </c>
      <c r="J8" s="7">
        <f t="shared" si="2"/>
        <v>9</v>
      </c>
      <c r="K8" s="7">
        <f t="shared" si="2"/>
        <v>9</v>
      </c>
      <c r="L8" s="7">
        <f t="shared" si="2"/>
        <v>9</v>
      </c>
      <c r="M8" s="7">
        <f t="shared" si="2"/>
        <v>9</v>
      </c>
      <c r="N8" s="7">
        <f t="shared" si="2"/>
        <v>9</v>
      </c>
      <c r="O8" s="7">
        <f t="shared" si="2"/>
        <v>9</v>
      </c>
      <c r="P8" s="7">
        <f t="shared" si="2"/>
        <v>9</v>
      </c>
      <c r="Q8" s="7">
        <f t="shared" si="2"/>
        <v>9</v>
      </c>
      <c r="R8" s="7">
        <f t="shared" si="2"/>
        <v>9</v>
      </c>
      <c r="S8" s="7">
        <f t="shared" si="2"/>
        <v>9</v>
      </c>
      <c r="T8" s="7">
        <f t="shared" si="2"/>
        <v>9</v>
      </c>
      <c r="U8" s="7">
        <f t="shared" si="2"/>
        <v>9</v>
      </c>
      <c r="V8" s="7">
        <f t="shared" si="2"/>
        <v>9</v>
      </c>
      <c r="X8"/>
      <c r="Y8"/>
    </row>
    <row r="9" spans="1:25" x14ac:dyDescent="0.15">
      <c r="A9" s="6" t="s">
        <v>32</v>
      </c>
      <c r="B9" s="6" t="s">
        <v>60</v>
      </c>
      <c r="C9" s="7">
        <v>20</v>
      </c>
      <c r="D9" s="7">
        <v>20</v>
      </c>
      <c r="E9" s="7">
        <v>20</v>
      </c>
      <c r="F9" s="7">
        <v>20</v>
      </c>
      <c r="G9" s="7">
        <v>20</v>
      </c>
      <c r="H9" s="7">
        <v>20</v>
      </c>
      <c r="I9" s="7">
        <v>20</v>
      </c>
      <c r="J9" s="7">
        <v>20</v>
      </c>
      <c r="K9" s="7">
        <v>20</v>
      </c>
      <c r="L9" s="7">
        <v>20</v>
      </c>
      <c r="M9" s="7">
        <v>20</v>
      </c>
      <c r="N9" s="7">
        <v>20</v>
      </c>
      <c r="O9" s="7">
        <v>20</v>
      </c>
      <c r="P9" s="7">
        <v>20</v>
      </c>
      <c r="Q9" s="7">
        <v>20</v>
      </c>
      <c r="R9" s="7">
        <v>20</v>
      </c>
      <c r="S9" s="7">
        <v>20</v>
      </c>
      <c r="T9" s="7">
        <v>20</v>
      </c>
      <c r="U9" s="7">
        <v>20</v>
      </c>
      <c r="V9" s="7">
        <v>20</v>
      </c>
      <c r="X9"/>
      <c r="Y9"/>
    </row>
    <row r="10" spans="1:25" x14ac:dyDescent="0.15">
      <c r="A10" t="s">
        <v>27</v>
      </c>
      <c r="B10" t="s">
        <v>61</v>
      </c>
      <c r="C10" s="20">
        <f>(250*0.7+299*0.3)*C1</f>
        <v>264.7</v>
      </c>
      <c r="D10" s="20">
        <f>(250*0.7+299*0.3)*D1</f>
        <v>265.36174999999997</v>
      </c>
      <c r="E10" s="20">
        <f>(265*0.7+299*0.3)*E1</f>
        <v>276.57599999999996</v>
      </c>
      <c r="F10" s="20">
        <f t="shared" ref="F10:V10" si="3">(265*0.7+299*0.3)*F1</f>
        <v>277.26399999999995</v>
      </c>
      <c r="G10" s="20">
        <f t="shared" si="3"/>
        <v>277.95199999999994</v>
      </c>
      <c r="H10" s="20">
        <f t="shared" si="3"/>
        <v>278.63999999999993</v>
      </c>
      <c r="I10" s="20">
        <f t="shared" si="3"/>
        <v>279.32799999999992</v>
      </c>
      <c r="J10" s="20">
        <f t="shared" si="3"/>
        <v>280.01599999999991</v>
      </c>
      <c r="K10" s="20">
        <f t="shared" si="3"/>
        <v>280.70399999999989</v>
      </c>
      <c r="L10" s="20">
        <f t="shared" si="3"/>
        <v>281.39199999999988</v>
      </c>
      <c r="M10" s="20">
        <f t="shared" si="3"/>
        <v>282.07999999999981</v>
      </c>
      <c r="N10" s="20">
        <f t="shared" si="3"/>
        <v>282.7679999999998</v>
      </c>
      <c r="O10" s="20">
        <f t="shared" si="3"/>
        <v>284.83199999999982</v>
      </c>
      <c r="P10" s="20">
        <f t="shared" si="3"/>
        <v>286.89599999999984</v>
      </c>
      <c r="Q10" s="20">
        <f t="shared" si="3"/>
        <v>288.95999999999987</v>
      </c>
      <c r="R10" s="20">
        <f t="shared" si="3"/>
        <v>291.02399999999989</v>
      </c>
      <c r="S10" s="20">
        <f t="shared" si="3"/>
        <v>293.08799999999991</v>
      </c>
      <c r="T10" s="20">
        <f t="shared" si="3"/>
        <v>295.15199999999993</v>
      </c>
      <c r="U10" s="20">
        <f t="shared" si="3"/>
        <v>297.21599999999995</v>
      </c>
      <c r="V10" s="20">
        <f t="shared" si="3"/>
        <v>299.27999999999997</v>
      </c>
      <c r="X10"/>
      <c r="Y10"/>
    </row>
    <row r="11" spans="1:25" x14ac:dyDescent="0.15">
      <c r="A11" t="s">
        <v>28</v>
      </c>
      <c r="B11" t="s">
        <v>62</v>
      </c>
      <c r="C11" s="20">
        <f>(299*0.7+375*0.3)*C1</f>
        <v>321.79999999999995</v>
      </c>
      <c r="D11" s="20">
        <f t="shared" ref="D11:V11" si="4">(299*0.7+375*0.3)*D1</f>
        <v>322.60449999999992</v>
      </c>
      <c r="E11" s="20">
        <f t="shared" si="4"/>
        <v>323.40899999999993</v>
      </c>
      <c r="F11" s="20">
        <f t="shared" si="4"/>
        <v>324.2134999999999</v>
      </c>
      <c r="G11" s="20">
        <f t="shared" si="4"/>
        <v>325.01799999999986</v>
      </c>
      <c r="H11" s="20">
        <f t="shared" si="4"/>
        <v>325.82249999999988</v>
      </c>
      <c r="I11" s="20">
        <f t="shared" si="4"/>
        <v>326.62699999999984</v>
      </c>
      <c r="J11" s="20">
        <f t="shared" si="4"/>
        <v>327.43149999999986</v>
      </c>
      <c r="K11" s="20">
        <f t="shared" si="4"/>
        <v>328.23599999999982</v>
      </c>
      <c r="L11" s="20">
        <f t="shared" si="4"/>
        <v>329.04049999999978</v>
      </c>
      <c r="M11" s="20">
        <f t="shared" si="4"/>
        <v>329.8449999999998</v>
      </c>
      <c r="N11" s="20">
        <f t="shared" si="4"/>
        <v>330.64949999999976</v>
      </c>
      <c r="O11" s="20">
        <f t="shared" si="4"/>
        <v>333.06299999999976</v>
      </c>
      <c r="P11" s="20">
        <f t="shared" si="4"/>
        <v>335.47649999999982</v>
      </c>
      <c r="Q11" s="20">
        <f t="shared" si="4"/>
        <v>337.88999999999982</v>
      </c>
      <c r="R11" s="20">
        <f t="shared" si="4"/>
        <v>340.30349999999981</v>
      </c>
      <c r="S11" s="20">
        <f t="shared" si="4"/>
        <v>342.71699999999987</v>
      </c>
      <c r="T11" s="20">
        <f t="shared" si="4"/>
        <v>345.13049999999987</v>
      </c>
      <c r="U11" s="20">
        <f t="shared" si="4"/>
        <v>347.54399999999993</v>
      </c>
      <c r="V11" s="20">
        <f t="shared" si="4"/>
        <v>349.95749999999992</v>
      </c>
      <c r="X11"/>
      <c r="Y11"/>
    </row>
    <row r="12" spans="1:25" x14ac:dyDescent="0.15">
      <c r="A12" t="s">
        <v>34</v>
      </c>
      <c r="B12" t="s">
        <v>64</v>
      </c>
      <c r="C12" s="7"/>
      <c r="D12" s="7"/>
      <c r="E12" s="7"/>
      <c r="F12" s="7"/>
      <c r="G12" s="7"/>
      <c r="H12" s="7"/>
      <c r="I12" s="7"/>
      <c r="J12" s="7"/>
      <c r="K12" s="7"/>
      <c r="L12" s="7"/>
      <c r="M12" s="7"/>
      <c r="N12" s="7"/>
      <c r="O12" s="18">
        <f>O20*0.65</f>
        <v>62.075000000000003</v>
      </c>
      <c r="P12" s="18">
        <f>P20*0.65</f>
        <v>71.825000000000003</v>
      </c>
      <c r="Q12" s="18">
        <f t="shared" ref="Q12:V12" si="5">Q20*0.65</f>
        <v>81.575000000000003</v>
      </c>
      <c r="R12" s="18">
        <f t="shared" si="5"/>
        <v>91.325000000000003</v>
      </c>
      <c r="S12" s="18">
        <f t="shared" si="5"/>
        <v>101.075</v>
      </c>
      <c r="T12" s="18">
        <f t="shared" si="5"/>
        <v>110.825</v>
      </c>
      <c r="U12" s="18">
        <f t="shared" si="5"/>
        <v>120.575</v>
      </c>
      <c r="V12" s="18">
        <f t="shared" si="5"/>
        <v>130.32500000000002</v>
      </c>
      <c r="X12"/>
      <c r="Y12"/>
    </row>
    <row r="13" spans="1:25" x14ac:dyDescent="0.15">
      <c r="A13" t="s">
        <v>35</v>
      </c>
      <c r="B13" t="s">
        <v>65</v>
      </c>
      <c r="C13" s="7"/>
      <c r="D13" s="7"/>
      <c r="E13" s="7"/>
      <c r="F13" s="7"/>
      <c r="G13" s="7"/>
      <c r="H13" s="7"/>
      <c r="I13" s="7"/>
      <c r="J13" s="7"/>
      <c r="K13" s="7"/>
      <c r="L13" s="7"/>
      <c r="M13" s="7"/>
      <c r="N13" s="7"/>
      <c r="O13" s="18"/>
      <c r="P13" s="18"/>
      <c r="Q13" s="11">
        <v>200</v>
      </c>
      <c r="R13" s="11">
        <f>Q13+200</f>
        <v>400</v>
      </c>
      <c r="S13" s="11">
        <f>R13+200</f>
        <v>600</v>
      </c>
      <c r="T13" s="11">
        <f>S13+200</f>
        <v>800</v>
      </c>
      <c r="U13" s="11">
        <f>T13+200</f>
        <v>1000</v>
      </c>
      <c r="V13" s="11">
        <f>U13+200</f>
        <v>1200</v>
      </c>
      <c r="X13"/>
      <c r="Y13"/>
    </row>
    <row r="14" spans="1:25" x14ac:dyDescent="0.15">
      <c r="A14" t="s">
        <v>29</v>
      </c>
      <c r="B14" t="s">
        <v>66</v>
      </c>
      <c r="C14" s="7"/>
      <c r="D14" s="7"/>
      <c r="E14" s="11"/>
      <c r="F14" s="11"/>
      <c r="G14" s="11"/>
      <c r="H14" s="11"/>
      <c r="I14" s="11"/>
      <c r="J14" s="11"/>
      <c r="K14" s="11"/>
      <c r="L14" s="11"/>
      <c r="M14" s="11"/>
      <c r="N14" s="11"/>
      <c r="O14" s="20">
        <f>3*(O12*200+O13*200)*O1</f>
        <v>38548.574999999983</v>
      </c>
      <c r="P14" s="20">
        <f t="shared" ref="P14:V14" si="6">3*(P12*200+P13*200)*P1</f>
        <v>44926.537499999977</v>
      </c>
      <c r="Q14" s="20">
        <f t="shared" si="6"/>
        <v>177392.24999999994</v>
      </c>
      <c r="R14" s="20">
        <f t="shared" si="6"/>
        <v>311745.71249999991</v>
      </c>
      <c r="S14" s="20">
        <f t="shared" si="6"/>
        <v>447986.92499999987</v>
      </c>
      <c r="T14" s="20">
        <f t="shared" si="6"/>
        <v>586115.88749999984</v>
      </c>
      <c r="U14" s="20">
        <f t="shared" si="6"/>
        <v>726132.59999999986</v>
      </c>
      <c r="V14" s="20">
        <f t="shared" si="6"/>
        <v>868037.06249999988</v>
      </c>
      <c r="X14"/>
      <c r="Y14"/>
    </row>
    <row r="15" spans="1:25" ht="27" customHeight="1" x14ac:dyDescent="0.15">
      <c r="A15" s="21" t="s">
        <v>51</v>
      </c>
      <c r="B15" s="21" t="s">
        <v>63</v>
      </c>
      <c r="C15" s="11">
        <f t="shared" ref="C15:N15" si="7">C5*SUM(C6:C9)*400</f>
        <v>9860</v>
      </c>
      <c r="D15" s="11">
        <f>D5*SUM(D6:D9)*400</f>
        <v>10710</v>
      </c>
      <c r="E15" s="11">
        <f t="shared" si="7"/>
        <v>12410</v>
      </c>
      <c r="F15" s="11">
        <f t="shared" si="7"/>
        <v>16380.000000000002</v>
      </c>
      <c r="G15" s="11">
        <f t="shared" si="7"/>
        <v>18180</v>
      </c>
      <c r="H15" s="11">
        <f t="shared" si="7"/>
        <v>19980</v>
      </c>
      <c r="I15" s="11">
        <f t="shared" si="7"/>
        <v>20570</v>
      </c>
      <c r="J15" s="11">
        <f t="shared" si="7"/>
        <v>22270</v>
      </c>
      <c r="K15" s="11">
        <f t="shared" si="7"/>
        <v>26789.999999999996</v>
      </c>
      <c r="L15" s="11">
        <f t="shared" si="7"/>
        <v>28689.999999999996</v>
      </c>
      <c r="M15" s="11">
        <f t="shared" si="7"/>
        <v>30589.999999999996</v>
      </c>
      <c r="N15" s="11">
        <f t="shared" si="7"/>
        <v>32489.999999999996</v>
      </c>
      <c r="O15" s="11">
        <f>O5*(SUM(O6:O9)-O12)*400*3</f>
        <v>38104.499999999993</v>
      </c>
      <c r="P15" s="11">
        <f t="shared" ref="P15:V15" si="8">P5*(SUM(P6:P9)-P12)*400*3</f>
        <v>44089.499999999993</v>
      </c>
      <c r="Q15" s="11">
        <f t="shared" si="8"/>
        <v>50074.5</v>
      </c>
      <c r="R15" s="11">
        <f t="shared" si="8"/>
        <v>56059.499999999985</v>
      </c>
      <c r="S15" s="11">
        <f t="shared" si="8"/>
        <v>62044.499999999985</v>
      </c>
      <c r="T15" s="11">
        <f t="shared" si="8"/>
        <v>68029.5</v>
      </c>
      <c r="U15" s="11">
        <f t="shared" si="8"/>
        <v>74014.499999999985</v>
      </c>
      <c r="V15" s="11">
        <f t="shared" si="8"/>
        <v>79999.499999999971</v>
      </c>
      <c r="X15"/>
      <c r="Y15"/>
    </row>
    <row r="16" spans="1:25" ht="16" x14ac:dyDescent="0.15">
      <c r="A16" s="24" t="s">
        <v>47</v>
      </c>
      <c r="B16" s="13" t="s">
        <v>67</v>
      </c>
      <c r="C16" s="25">
        <f>(52/12)*C5*
((C10*C6+200*C6*Inputs!$C$3)
+(C10*C7+200*C7*Inputs!$C$3)
+(C10*C8+200*C8*Inputs!$C$3)
+(C11*C9+200*C9*Inputs!$C$3)
+C15*0.17*C1)</f>
        <v>41859.241666666661</v>
      </c>
      <c r="D16" s="25">
        <f>(52/12)*D5*
((D10*D6+200*D6*Inputs!$C$3)
+(D10*D7+200*D7*Inputs!$C$3)
+(D10*D8+200*D8*Inputs!$C$3)
+(D11*D9+200*D9*Inputs!$C$3)
+D15*0.17*D1)</f>
        <v>45209.240239583327</v>
      </c>
      <c r="E16" s="25">
        <f>(52/12)*E5*
((E10*E6+200*E6*Inputs!$C$3)
+(E10*E7+200*E7*Inputs!$C$3)
+(E10*E8+200*E8*Inputs!$C$3)
+(E11*E9+200*E9*Inputs!$C$3)
+E15*0.17*E1)</f>
        <v>52476.20137499999</v>
      </c>
      <c r="F16" s="25">
        <f>(52/12)*F5*
((F10*F6+200*F6*Inputs!$C$3)
+(F10*F7+200*F7*Inputs!$C$3)
+(F10*F8+200*F8*Inputs!$C$3)
+(F11*F9+200*F9*Inputs!$C$3)
+F15*0.17*F1)</f>
        <v>69127.447349999988</v>
      </c>
      <c r="G16" s="25">
        <f>(52/12)*G5*
((G10*G6+200*G6*Inputs!$C$3)
+(G10*G7+200*G7*Inputs!$C$3)
+(G10*G8+200*G8*Inputs!$C$3)
+(G11*G9+200*G9*Inputs!$C$3)
+G15*0.17*G1)</f>
        <v>76496.167799999981</v>
      </c>
      <c r="H16" s="25">
        <f>(52/12)*H5*
((H10*H6+200*H6*Inputs!$C$3)
+(H10*H7+200*H7*Inputs!$C$3)
+(H10*H8+200*H8*Inputs!$C$3)
+(H11*H9+200*H9*Inputs!$C$3)
+H15*0.17*H1)</f>
        <v>83897.687249999974</v>
      </c>
      <c r="I16" s="25">
        <f>(52/12)*I5*
((I10*I6+200*I6*Inputs!$C$3)
+(I10*I7+200*I7*Inputs!$C$3)
+(I10*I8+200*I8*Inputs!$C$3)
+(I11*I9+200*I9*Inputs!$C$3)
+I15*0.17*I1)</f>
        <v>85488.978791666625</v>
      </c>
      <c r="J16" s="25">
        <f>(52/12)*J5*
((J10*J6+200*J6*Inputs!$C$3)
+(J10*J7+200*J7*Inputs!$C$3)
+(J10*J8+200*J8*Inputs!$C$3)
+(J11*J9+200*J9*Inputs!$C$3)
+J15*0.17*J1)</f>
        <v>92475.649770833305</v>
      </c>
      <c r="K16" s="25">
        <f>(52/12)*K5*
((K10*K6+200*K6*Inputs!$C$3)
+(K10*K7+200*K7*Inputs!$C$3)
+(K10*K8+200*K8*Inputs!$C$3)
+(K11*K9+200*K9*Inputs!$C$3)
+K15*0.17*K1)</f>
        <v>113211.04209999995</v>
      </c>
      <c r="L16" s="25">
        <f>(52/12)*L5*
((L10*L6+200*L6*Inputs!$C$3)
+(L10*L7+200*L7*Inputs!$C$3)
+(L10*L8+200*L8*Inputs!$C$3)
+(L11*L9+200*L9*Inputs!$C$3)
+L15*0.17*L1)</f>
        <v>121236.26661249994</v>
      </c>
      <c r="M16" s="25">
        <f>(52/12)*M5*
((M10*M6+200*M6*Inputs!$C$3)
+(M10*M7+200*M7*Inputs!$C$3)
+(M10*M8+200*M8*Inputs!$C$3)
+(M11*M9+200*M9*Inputs!$C$3)
+M15*0.17*M1)</f>
        <v>129296.46220833324</v>
      </c>
      <c r="N16" s="25">
        <f>(52/12)*N5*
((N10*N6+200*N6*Inputs!$C$3)
+(N10*N7+200*N7*Inputs!$C$3)
+(N10*N8+200*N8*Inputs!$C$3)
+(N11*N9+200*N9*Inputs!$C$3)
+N15*0.17*N1)</f>
        <v>137391.62888749992</v>
      </c>
      <c r="O16" s="25">
        <f>3*(52/12)*O5*
((O10*O6+200*O6*Inputs!$C$3)
+(O10*O7+200*O7*Inputs!$C$3)
+(O10*O8+200*O8*Inputs!$C$3)
+(O11*O9+200*O9*Inputs!$C$3)
+O15*0.17*O1)+O14</f>
        <v>504582.7752712497</v>
      </c>
      <c r="P16" s="25">
        <f>3*(52/12)*P5*
((P10*P6+200*P6*Inputs!$C$3)
+(P10*P7+200*P7*Inputs!$C$3)
+(P10*P8+200*P8*Inputs!$C$3)
+(P11*P9+200*P9*Inputs!$C$3)
+P15*0.17*P1)+P14</f>
        <v>585885.92602312472</v>
      </c>
      <c r="Q16" s="25">
        <f>3*(52/12)*Q5*
((Q10*Q6+200*Q6*Inputs!$C$3)
+(Q10*Q7+200*Q7*Inputs!$C$3)
+(Q10*Q8+200*Q8*Inputs!$C$3)
+(Q11*Q9+200*Q9*Inputs!$C$3)
+Q15*0.17*Q1)+Q14</f>
        <v>794230.02138749976</v>
      </c>
      <c r="R16" s="25">
        <f>3*(52/12)*R5*
((R10*R6+200*R6*Inputs!$C$3)
+(R10*R7+200*R7*Inputs!$C$3)
+(R10*R8+200*R8*Inputs!$C$3)
+(R11*R9+200*R9*Inputs!$C$3)
+R15*0.17*R1)+R14</f>
        <v>1005415.0613643747</v>
      </c>
      <c r="S16" s="25">
        <f>3*(52/12)*S5*
((S10*S6+200*S6*Inputs!$C$3)
+(S10*S7+200*S7*Inputs!$C$3)
+(S10*S8+200*S8*Inputs!$C$3)
+(S11*S9+200*S9*Inputs!$C$3)
+S15*0.17*S1)+S14</f>
        <v>1219441.0459537497</v>
      </c>
      <c r="T16" s="25">
        <f>3*(52/12)*T5*
((T10*T6+200*T6*Inputs!$C$3)
+(T10*T7+200*T7*Inputs!$C$3)
+(T10*T8+200*T8*Inputs!$C$3)
+(T11*T9+200*T9*Inputs!$C$3)
+T15*0.17*T1)+T14</f>
        <v>1436307.9751556246</v>
      </c>
      <c r="U16" s="25">
        <f>3*(52/12)*U5*
((U10*U6+200*U6*Inputs!$C$3)
+(U10*U7+200*U7*Inputs!$C$3)
+(U10*U8+200*U8*Inputs!$C$3)
+(U11*U9+200*U9*Inputs!$C$3)
+U15*0.17*U1)+U14</f>
        <v>1656015.8489699997</v>
      </c>
      <c r="V16" s="25">
        <f>3*(52/12)*V5*
((V10*V6+200*V6*Inputs!$C$3)
+(V10*V7+200*V7*Inputs!$C$3)
+(V10*V8+200*V8*Inputs!$C$3)
+(V11*V9+200*V9*Inputs!$C$3)
+V15*0.17*V1)+V14</f>
        <v>1878564.6673968746</v>
      </c>
      <c r="X16"/>
      <c r="Y16"/>
    </row>
    <row r="17" spans="1:26" x14ac:dyDescent="0.15">
      <c r="A17" s="22" t="s">
        <v>33</v>
      </c>
      <c r="B17" s="14" t="s">
        <v>68</v>
      </c>
      <c r="C17" s="17">
        <f>C16*1.21</f>
        <v>50649.682416666656</v>
      </c>
      <c r="D17" s="17">
        <f>D16*1.21</f>
        <v>54703.180689895824</v>
      </c>
      <c r="E17" s="17">
        <f>E16*1.21</f>
        <v>63496.203663749984</v>
      </c>
      <c r="F17" s="17">
        <f t="shared" ref="F17:O17" si="9">F16*1.21</f>
        <v>83644.21129349999</v>
      </c>
      <c r="G17" s="17">
        <f t="shared" si="9"/>
        <v>92560.363037999981</v>
      </c>
      <c r="H17" s="17">
        <f t="shared" si="9"/>
        <v>101516.20157249997</v>
      </c>
      <c r="I17" s="17">
        <f t="shared" si="9"/>
        <v>103441.66433791662</v>
      </c>
      <c r="J17" s="17">
        <f t="shared" si="9"/>
        <v>111895.5362227083</v>
      </c>
      <c r="K17" s="17">
        <f t="shared" si="9"/>
        <v>136985.36094099993</v>
      </c>
      <c r="L17" s="17">
        <f t="shared" si="9"/>
        <v>146695.88260112493</v>
      </c>
      <c r="M17" s="17">
        <f t="shared" si="9"/>
        <v>156448.71927208322</v>
      </c>
      <c r="N17" s="17">
        <f t="shared" si="9"/>
        <v>166243.8709538749</v>
      </c>
      <c r="O17" s="17">
        <f t="shared" si="9"/>
        <v>610545.15807821217</v>
      </c>
      <c r="P17" s="17">
        <f t="shared" ref="P17:V17" si="10">P16*1.21</f>
        <v>708921.97048798087</v>
      </c>
      <c r="Q17" s="17">
        <f t="shared" si="10"/>
        <v>961018.32587887463</v>
      </c>
      <c r="R17" s="17">
        <f t="shared" si="10"/>
        <v>1216552.2242508933</v>
      </c>
      <c r="S17" s="17">
        <f t="shared" si="10"/>
        <v>1475523.665604037</v>
      </c>
      <c r="T17" s="17">
        <f t="shared" si="10"/>
        <v>1737932.6499383056</v>
      </c>
      <c r="U17" s="17">
        <f t="shared" si="10"/>
        <v>2003779.1772536996</v>
      </c>
      <c r="V17" s="17">
        <f t="shared" si="10"/>
        <v>2273063.2475502184</v>
      </c>
      <c r="X17"/>
      <c r="Y17"/>
    </row>
    <row r="19" spans="1:26" ht="30" x14ac:dyDescent="0.15">
      <c r="A19" s="29" t="s">
        <v>56</v>
      </c>
      <c r="B19" s="29" t="s">
        <v>69</v>
      </c>
      <c r="C19" s="19">
        <f>C20*Inputs!$C$10</f>
        <v>40.599999999999994</v>
      </c>
      <c r="D19" s="19">
        <f>D20*Inputs!$C$10</f>
        <v>44.099999999999994</v>
      </c>
      <c r="E19" s="19">
        <f>E20*Inputs!$C$10</f>
        <v>51.099999999999994</v>
      </c>
      <c r="F19" s="19">
        <f>F20*Inputs!$C$10</f>
        <v>63.699999999999996</v>
      </c>
      <c r="G19" s="19">
        <f>G20*Inputs!$C$10</f>
        <v>70.699999999999989</v>
      </c>
      <c r="H19" s="19">
        <f>H20*Inputs!$C$10</f>
        <v>77.699999999999989</v>
      </c>
      <c r="I19" s="19">
        <f>I20*Inputs!$C$10</f>
        <v>84.699999999999989</v>
      </c>
      <c r="J19" s="19">
        <f>J20*Inputs!$C$10</f>
        <v>91.699999999999989</v>
      </c>
      <c r="K19" s="19">
        <f>K20*Inputs!$C$10</f>
        <v>98.699999999999989</v>
      </c>
      <c r="L19" s="19">
        <f>L20*Inputs!$C$10</f>
        <v>105.69999999999999</v>
      </c>
      <c r="M19" s="19">
        <f>M20*Inputs!$C$10</f>
        <v>112.69999999999999</v>
      </c>
      <c r="N19" s="19">
        <f>N20*Inputs!$C$10</f>
        <v>119.69999999999999</v>
      </c>
      <c r="O19" s="19">
        <f>O20*Inputs!$C$10</f>
        <v>133.69999999999999</v>
      </c>
      <c r="P19" s="19">
        <f>P20*Inputs!$C$10</f>
        <v>154.69999999999999</v>
      </c>
      <c r="Q19" s="19">
        <f>Q20*Inputs!$C$10</f>
        <v>175.7</v>
      </c>
      <c r="R19" s="19">
        <f>R20*Inputs!$C$10</f>
        <v>196.7</v>
      </c>
      <c r="S19" s="19">
        <f>S20*Inputs!$C$10</f>
        <v>217.7</v>
      </c>
      <c r="T19" s="19">
        <f>T20*Inputs!$C$10</f>
        <v>238.7</v>
      </c>
      <c r="U19" s="19">
        <f>U20*Inputs!$C$10</f>
        <v>259.7</v>
      </c>
      <c r="V19" s="19">
        <f>V20*Inputs!$C$10</f>
        <v>280.7</v>
      </c>
    </row>
    <row r="20" spans="1:26" x14ac:dyDescent="0.15">
      <c r="A20" s="22" t="s">
        <v>52</v>
      </c>
      <c r="B20" s="22" t="s">
        <v>70</v>
      </c>
      <c r="C20" s="19">
        <f t="shared" ref="C20:E20" si="11">SUM(C6:C9)</f>
        <v>29</v>
      </c>
      <c r="D20" s="19">
        <f t="shared" si="11"/>
        <v>31.5</v>
      </c>
      <c r="E20" s="19">
        <f t="shared" si="11"/>
        <v>36.5</v>
      </c>
      <c r="F20" s="19">
        <f t="shared" ref="F20:V20" si="12">SUM(F6:F9)</f>
        <v>45.5</v>
      </c>
      <c r="G20" s="19">
        <f t="shared" si="12"/>
        <v>50.5</v>
      </c>
      <c r="H20" s="19">
        <f t="shared" si="12"/>
        <v>55.5</v>
      </c>
      <c r="I20" s="19">
        <f t="shared" si="12"/>
        <v>60.5</v>
      </c>
      <c r="J20" s="19">
        <f t="shared" si="12"/>
        <v>65.5</v>
      </c>
      <c r="K20" s="19">
        <f t="shared" si="12"/>
        <v>70.5</v>
      </c>
      <c r="L20" s="19">
        <f t="shared" si="12"/>
        <v>75.5</v>
      </c>
      <c r="M20" s="19">
        <f t="shared" si="12"/>
        <v>80.5</v>
      </c>
      <c r="N20" s="19">
        <f t="shared" si="12"/>
        <v>85.5</v>
      </c>
      <c r="O20" s="19">
        <f t="shared" si="12"/>
        <v>95.5</v>
      </c>
      <c r="P20" s="19">
        <f t="shared" si="12"/>
        <v>110.5</v>
      </c>
      <c r="Q20" s="19">
        <f t="shared" si="12"/>
        <v>125.5</v>
      </c>
      <c r="R20" s="19">
        <f t="shared" si="12"/>
        <v>140.5</v>
      </c>
      <c r="S20" s="19">
        <f t="shared" si="12"/>
        <v>155.5</v>
      </c>
      <c r="T20" s="19">
        <f t="shared" si="12"/>
        <v>170.5</v>
      </c>
      <c r="U20" s="19">
        <f t="shared" si="12"/>
        <v>185.5</v>
      </c>
      <c r="V20" s="19">
        <f t="shared" si="12"/>
        <v>200.5</v>
      </c>
    </row>
    <row r="21" spans="1:26" x14ac:dyDescent="0.15">
      <c r="A21" s="22" t="s">
        <v>53</v>
      </c>
      <c r="B21" s="22" t="s">
        <v>71</v>
      </c>
      <c r="C21" s="42">
        <f t="shared" ref="C21:N21" si="13">(52/12)*C5*
((C6*1500)
+(C7*1500)
+(C8*1500)
+(C9*1500)
+C15)</f>
        <v>196542.66666666666</v>
      </c>
      <c r="D21" s="42">
        <f t="shared" si="13"/>
        <v>213486</v>
      </c>
      <c r="E21" s="42">
        <f t="shared" si="13"/>
        <v>247372.66666666666</v>
      </c>
      <c r="F21" s="42">
        <f t="shared" si="13"/>
        <v>330057</v>
      </c>
      <c r="G21" s="42">
        <f t="shared" si="13"/>
        <v>366327</v>
      </c>
      <c r="H21" s="42">
        <f t="shared" si="13"/>
        <v>402597</v>
      </c>
      <c r="I21" s="42">
        <f t="shared" si="13"/>
        <v>410028.66666666663</v>
      </c>
      <c r="J21" s="42">
        <f t="shared" si="13"/>
        <v>443915.33333333331</v>
      </c>
      <c r="K21" s="42">
        <f t="shared" si="13"/>
        <v>545623</v>
      </c>
      <c r="L21" s="42">
        <f t="shared" si="13"/>
        <v>584319.66666666663</v>
      </c>
      <c r="M21" s="42">
        <f t="shared" si="13"/>
        <v>623016.33333333326</v>
      </c>
      <c r="N21" s="42">
        <f t="shared" si="13"/>
        <v>661712.99999999988</v>
      </c>
      <c r="O21" s="42">
        <f t="shared" ref="O21:V21" si="14">(52/12)*3*O5*
((O6*1500)
+(O7*1500)
+(O8*1500)
+(O9*1500)
+O15)</f>
        <v>2239728.0749999997</v>
      </c>
      <c r="P21" s="42">
        <f t="shared" si="14"/>
        <v>2591517.8249999997</v>
      </c>
      <c r="Q21" s="42">
        <f t="shared" si="14"/>
        <v>2943307.5749999997</v>
      </c>
      <c r="R21" s="42">
        <f t="shared" si="14"/>
        <v>3295097.3249999997</v>
      </c>
      <c r="S21" s="42">
        <f t="shared" si="14"/>
        <v>3646887.0749999997</v>
      </c>
      <c r="T21" s="42">
        <f t="shared" si="14"/>
        <v>3998676.8249999997</v>
      </c>
      <c r="U21" s="42">
        <f t="shared" si="14"/>
        <v>4350466.5750000002</v>
      </c>
      <c r="V21" s="42">
        <f t="shared" si="14"/>
        <v>4702256.3250000002</v>
      </c>
    </row>
    <row r="22" spans="1:26" x14ac:dyDescent="0.15">
      <c r="A22" s="22"/>
      <c r="B22" s="22" t="s">
        <v>102</v>
      </c>
      <c r="C22" s="42">
        <f>(C8+C9)/C20*C21</f>
        <v>169433.33333333331</v>
      </c>
      <c r="D22" s="42">
        <f t="shared" ref="D22:V22" si="15">(D8+D9)/D20*D21</f>
        <v>169433.33333333331</v>
      </c>
      <c r="E22" s="42">
        <f t="shared" si="15"/>
        <v>169433.33333333331</v>
      </c>
      <c r="F22" s="42">
        <f t="shared" si="15"/>
        <v>210366</v>
      </c>
      <c r="G22" s="42">
        <f t="shared" si="15"/>
        <v>210365.99999999997</v>
      </c>
      <c r="H22" s="42">
        <f t="shared" si="15"/>
        <v>210366</v>
      </c>
      <c r="I22" s="42">
        <f t="shared" si="15"/>
        <v>196542.66666666666</v>
      </c>
      <c r="J22" s="42">
        <f t="shared" si="15"/>
        <v>196542.66666666666</v>
      </c>
      <c r="K22" s="42">
        <f t="shared" si="15"/>
        <v>224440.66666666666</v>
      </c>
      <c r="L22" s="42">
        <f t="shared" si="15"/>
        <v>224440.66666666666</v>
      </c>
      <c r="M22" s="42">
        <f t="shared" si="15"/>
        <v>224440.66666666666</v>
      </c>
      <c r="N22" s="42">
        <f t="shared" si="15"/>
        <v>224440.66666666663</v>
      </c>
      <c r="O22" s="42">
        <f t="shared" si="15"/>
        <v>680126.84999999986</v>
      </c>
      <c r="P22" s="42">
        <f t="shared" si="15"/>
        <v>680126.85</v>
      </c>
      <c r="Q22" s="42">
        <f t="shared" si="15"/>
        <v>680126.84999999986</v>
      </c>
      <c r="R22" s="42">
        <f t="shared" si="15"/>
        <v>680126.85</v>
      </c>
      <c r="S22" s="42">
        <f t="shared" si="15"/>
        <v>680126.85</v>
      </c>
      <c r="T22" s="42">
        <f t="shared" si="15"/>
        <v>680126.84999999986</v>
      </c>
      <c r="U22" s="42">
        <f t="shared" si="15"/>
        <v>680126.85000000009</v>
      </c>
      <c r="V22" s="42">
        <f t="shared" si="15"/>
        <v>680126.85000000009</v>
      </c>
    </row>
    <row r="23" spans="1:26" x14ac:dyDescent="0.15">
      <c r="C23" s="14"/>
      <c r="D23" s="14"/>
      <c r="E23" s="14"/>
      <c r="F23" s="14"/>
      <c r="G23" s="14"/>
      <c r="H23" s="14"/>
      <c r="I23" s="14"/>
      <c r="J23" s="14"/>
      <c r="K23" s="14"/>
      <c r="L23" s="14"/>
      <c r="M23" s="14"/>
      <c r="N23" s="14"/>
    </row>
    <row r="24" spans="1:26" x14ac:dyDescent="0.15">
      <c r="A24" s="6" t="s">
        <v>45</v>
      </c>
      <c r="B24" s="6" t="s">
        <v>72</v>
      </c>
      <c r="C24" s="15">
        <f>C1*(250*C5*C9+
200*C5*C8+
180*SUM(C6:C9)*Inputs!$C$3*(52/12))</f>
        <v>8493</v>
      </c>
      <c r="D24" s="15">
        <f>D1*(250*D5*D9+
200*D5*D8+
180*SUM(D6:D9)*Inputs!$C$3*(52/12))</f>
        <v>8807.463749999999</v>
      </c>
      <c r="E24" s="15">
        <f>E1*(250*E5*E9+
200*E5*E8+
180*SUM(E6:E9)*Inputs!$C$3*(52/12))</f>
        <v>9417.3524999999991</v>
      </c>
      <c r="F24" s="15">
        <f>F1*(250*F5*F9+
200*F5*F8+
180*SUM(F6:F9)*Inputs!$C$3*(52/12))</f>
        <v>11529.326249999998</v>
      </c>
      <c r="G24" s="15">
        <f>G1*(250*G5*G9+
200*G5*G8+
180*SUM(G6:G9)*Inputs!$C$3*(52/12))</f>
        <v>12148.784999999998</v>
      </c>
      <c r="H24" s="15">
        <f>H1*(250*H5*H9+
200*H5*H8+
180*SUM(H6:H9)*Inputs!$C$3*(52/12))</f>
        <v>12771.168749999997</v>
      </c>
      <c r="I24" s="15">
        <f>I1*(250*I5*I9+
200*I5*I8+
180*SUM(I6:I9)*Inputs!$C$3*(52/12))</f>
        <v>13051.377499999995</v>
      </c>
      <c r="J24" s="15">
        <f>J1*(250*J5*J9+
200*J5*J8+
180*SUM(J6:J9)*Inputs!$C$3*(52/12))</f>
        <v>13678.761249999994</v>
      </c>
      <c r="K24" s="15">
        <f>K1*(250*K5*K9+
200*K5*K8+
180*SUM(K6:K9)*Inputs!$C$3*(52/12))</f>
        <v>15002.669999999995</v>
      </c>
      <c r="L24" s="15">
        <f>L1*(250*L5*L9+
200*L5*L8+
180*SUM(L6:L9)*Inputs!$C$3*(52/12))</f>
        <v>15637.603749999993</v>
      </c>
      <c r="M24" s="15">
        <f>M1*(250*M5*M9+
200*M5*M8+
180*SUM(M6:M9)*Inputs!$C$3*(52/12))</f>
        <v>16275.462499999992</v>
      </c>
      <c r="N24" s="15">
        <f>N1*(250*N5*N9+
200*N5*N8+
180*SUM(N6:N9)*Inputs!$C$3*(52/12))</f>
        <v>16916.246249999989</v>
      </c>
      <c r="O24" s="15">
        <f>O1*3*(250*O5*O9+
200*O5*O8+
180*SUM(O6:O9)*Inputs!$C$3*(52/12))</f>
        <v>54752.017499999973</v>
      </c>
      <c r="P24" s="15">
        <f>P1*3*(250*P5*P9+
200*P5*P8+
180*SUM(P6:P9)*Inputs!$C$3*(52/12))</f>
        <v>60637.533749999973</v>
      </c>
      <c r="Q24" s="15">
        <f>Q1*3*(250*Q5*Q9+
200*Q5*Q8+
180*SUM(Q6:Q9)*Inputs!$C$3*(52/12))</f>
        <v>66602.024999999965</v>
      </c>
      <c r="R24" s="15">
        <f>R1*3*(250*R5*R9+
200*R5*R8+
180*SUM(R6:R9)*Inputs!$C$3*(52/12))</f>
        <v>72645.491249999977</v>
      </c>
      <c r="S24" s="15">
        <f>S1*3*(250*S5*S9+
200*S5*S8+
180*SUM(S6:S9)*Inputs!$C$3*(52/12))</f>
        <v>78767.932499999981</v>
      </c>
      <c r="T24" s="15">
        <f>T1*3*(250*T5*T9+
200*T5*T8+
180*SUM(T6:T9)*Inputs!$C$3*(52/12))</f>
        <v>84969.34874999999</v>
      </c>
      <c r="U24" s="15">
        <f>U1*3*(250*U5*U9+
200*U5*U8+
180*SUM(U6:U9)*Inputs!$C$3*(52/12))</f>
        <v>91249.739999999976</v>
      </c>
      <c r="V24" s="15">
        <f>V1*3*(250*V5*V9+
200*V5*V8+
180*SUM(V6:V9)*Inputs!$C$3*(52/12))</f>
        <v>97609.106249999997</v>
      </c>
    </row>
    <row r="25" spans="1:26" x14ac:dyDescent="0.15">
      <c r="A25" s="6" t="s">
        <v>44</v>
      </c>
      <c r="B25" s="30" t="s">
        <v>73</v>
      </c>
      <c r="C25" s="15">
        <f>C1*(C6*1230
+C7*Inputs!$C$9
+SUM(C7:C9)*230
+SUM(C7:C9)*15.9
+SUM(C7:C9)*25
+C9*238)</f>
        <v>16452.5</v>
      </c>
      <c r="D25" s="15">
        <f>D1*(D6*1230
+D7*Inputs!$C$9
+SUM(D7:D9)*230
+SUM(D7:D9)*15.9
+SUM(D7:D9)*25
+D9*238)</f>
        <v>19180.080624999999</v>
      </c>
      <c r="E25" s="15">
        <f>E1*(E6*1230
+E7*Inputs!$C$9
+SUM(E7:E9)*230
+SUM(E7:E9)*15.9
+SUM(E7:E9)*25
+E9*238)</f>
        <v>24614.208749999998</v>
      </c>
      <c r="F25" s="15">
        <f>F1*(F6*1230
+F7*Inputs!$C$9
+SUM(F7:F9)*230
+SUM(F7:F9)*15.9
+SUM(F7:F9)*25
+F9*238)</f>
        <v>31166.861374999993</v>
      </c>
      <c r="G25" s="15">
        <f>G1*(G6*1230
+G7*Inputs!$C$9
+SUM(G7:G9)*230
+SUM(G7:G9)*15.9
+SUM(G7:G9)*25
+G9*238)</f>
        <v>36657.293499999992</v>
      </c>
      <c r="H25" s="15">
        <f>H1*(H6*1230
+H7*Inputs!$C$9
+SUM(H7:H9)*230
+SUM(H7:H9)*15.9
+SUM(H7:H9)*25
+H9*238)</f>
        <v>42174.523124999985</v>
      </c>
      <c r="I25" s="15">
        <f>I1*(I6*1230
+I7*Inputs!$C$9
+SUM(I7:I9)*230
+SUM(I7:I9)*15.9
+SUM(I7:I9)*25
+I9*238)</f>
        <v>47718.550249999986</v>
      </c>
      <c r="J25" s="15">
        <f>J1*(J6*1230
+J7*Inputs!$C$9
+SUM(J7:J9)*230
+SUM(J7:J9)*15.9
+SUM(J7:J9)*25
+J9*238)</f>
        <v>53289.37487499998</v>
      </c>
      <c r="K25" s="15">
        <f>K1*(K6*1230
+K7*Inputs!$C$9
+SUM(K7:K9)*230
+SUM(K7:K9)*15.9
+SUM(K7:K9)*25
+K9*238)</f>
        <v>58886.996999999974</v>
      </c>
      <c r="L25" s="15">
        <f>L1*(L6*1230
+L7*Inputs!$C$9
+SUM(L7:L9)*230
+SUM(L7:L9)*15.9
+SUM(L7:L9)*25
+L9*238)</f>
        <v>64511.416624999969</v>
      </c>
      <c r="M25" s="15">
        <f>M1*(M6*1230
+M7*Inputs!$C$9
+SUM(M7:M9)*230
+SUM(M7:M9)*15.9
+SUM(M7:M9)*25
+M9*238)</f>
        <v>70162.633749999964</v>
      </c>
      <c r="N25" s="15">
        <f>N1*(N6*1230
+N7*Inputs!$C$9
+SUM(N7:N9)*230
+SUM(N7:N9)*15.9
+SUM(N7:N9)*25
+N9*238)</f>
        <v>75840.648374999961</v>
      </c>
      <c r="O25" s="15">
        <f>O1*3*(O6*1230
+O7*Inputs!$C$9
+SUM(O7:O9)*230
+SUM(O7:O9)*15.9
+SUM(O7:O9)*25
+O9*238)</f>
        <v>262465.18424999993</v>
      </c>
      <c r="P25" s="15">
        <f>P1*3*(P6*1230
+P7*Inputs!$C$9
+SUM(P7:P9)*230
+SUM(P7:P9)*15.9
+SUM(P7:P9)*25
+P9*238)</f>
        <v>314652.61462499987</v>
      </c>
      <c r="Q25" s="15">
        <f>Q1*3*(Q6*1230
+Q7*Inputs!$C$9
+SUM(Q7:Q9)*230
+SUM(Q7:Q9)*15.9
+SUM(Q7:Q9)*25
+Q9*238)</f>
        <v>367563.57749999984</v>
      </c>
      <c r="R25" s="15">
        <f>R1*3*(R6*1230
+R7*Inputs!$C$9
+SUM(R7:R9)*230
+SUM(R7:R9)*15.9
+SUM(R7:R9)*25
+R9*238)</f>
        <v>421198.0728749999</v>
      </c>
      <c r="S25" s="15">
        <f>S1*3*(S6*1230
+S7*Inputs!$C$9
+SUM(S7:S9)*230
+SUM(S7:S9)*15.9
+SUM(S7:S9)*25
+S9*238)</f>
        <v>475556.10074999993</v>
      </c>
      <c r="T25" s="15">
        <f>T1*3*(T6*1230
+T7*Inputs!$C$9
+SUM(T7:T9)*230
+SUM(T7:T9)*15.9
+SUM(T7:T9)*25
+T9*238)</f>
        <v>530637.66112499987</v>
      </c>
      <c r="U25" s="15">
        <f>U1*3*(U6*1230
+U7*Inputs!$C$9
+SUM(U7:U9)*230
+SUM(U7:U9)*15.9
+SUM(U7:U9)*25
+U9*238)</f>
        <v>586442.75399999984</v>
      </c>
      <c r="V25" s="15">
        <f>V1*3*(V6*1230
+V7*Inputs!$C$9
+SUM(V7:V9)*230
+SUM(V7:V9)*15.9
+SUM(V7:V9)*25
+V9*238)</f>
        <v>642971.37937500002</v>
      </c>
    </row>
    <row r="26" spans="1:26" x14ac:dyDescent="0.15">
      <c r="A26" s="6" t="s">
        <v>43</v>
      </c>
      <c r="B26" s="6" t="s">
        <v>109</v>
      </c>
      <c r="C26" s="15"/>
      <c r="D26" s="15"/>
      <c r="E26" s="15"/>
      <c r="F26" s="15"/>
      <c r="G26" s="15"/>
      <c r="H26" s="15"/>
      <c r="I26" s="15"/>
      <c r="J26" s="15"/>
      <c r="K26" s="15"/>
      <c r="L26" s="15"/>
      <c r="M26" s="15"/>
      <c r="N26" s="15"/>
      <c r="O26" s="15">
        <f>(O12+O13)*15*O1</f>
        <v>963.71437499999956</v>
      </c>
      <c r="P26" s="15">
        <f t="shared" ref="P26:V26" si="16">(P12+P13)*15*P1</f>
        <v>1123.1634374999994</v>
      </c>
      <c r="Q26" s="15">
        <f t="shared" si="16"/>
        <v>4434.8062499999987</v>
      </c>
      <c r="R26" s="15">
        <f t="shared" si="16"/>
        <v>7793.6428124999975</v>
      </c>
      <c r="S26" s="15">
        <f t="shared" si="16"/>
        <v>11199.673124999998</v>
      </c>
      <c r="T26" s="15">
        <f t="shared" si="16"/>
        <v>14652.897187499997</v>
      </c>
      <c r="U26" s="15">
        <f t="shared" si="16"/>
        <v>18153.314999999999</v>
      </c>
      <c r="V26" s="15">
        <f t="shared" si="16"/>
        <v>21700.926562499997</v>
      </c>
    </row>
    <row r="27" spans="1:26" ht="16" x14ac:dyDescent="0.15">
      <c r="A27" s="24" t="s">
        <v>46</v>
      </c>
      <c r="B27" s="13" t="s">
        <v>74</v>
      </c>
      <c r="C27" s="26">
        <f>C24+C25+C26</f>
        <v>24945.5</v>
      </c>
      <c r="D27" s="26">
        <f t="shared" ref="D27:M27" si="17">D24+D25+D26</f>
        <v>27987.544374999998</v>
      </c>
      <c r="E27" s="26">
        <f t="shared" si="17"/>
        <v>34031.561249999999</v>
      </c>
      <c r="F27" s="26">
        <f t="shared" si="17"/>
        <v>42696.187624999991</v>
      </c>
      <c r="G27" s="26">
        <f t="shared" si="17"/>
        <v>48806.078499999989</v>
      </c>
      <c r="H27" s="26">
        <f t="shared" si="17"/>
        <v>54945.691874999982</v>
      </c>
      <c r="I27" s="26">
        <f t="shared" si="17"/>
        <v>60769.927749999981</v>
      </c>
      <c r="J27" s="26">
        <f t="shared" si="17"/>
        <v>66968.136124999975</v>
      </c>
      <c r="K27" s="26">
        <f t="shared" si="17"/>
        <v>73889.666999999972</v>
      </c>
      <c r="L27" s="26">
        <f t="shared" si="17"/>
        <v>80149.020374999964</v>
      </c>
      <c r="M27" s="26">
        <f t="shared" si="17"/>
        <v>86438.096249999959</v>
      </c>
      <c r="N27" s="26">
        <f>N24+N25+N26</f>
        <v>92756.894624999957</v>
      </c>
      <c r="O27" s="26">
        <f t="shared" ref="O27:V27" si="18">O24+O25+O26</f>
        <v>318180.91612499987</v>
      </c>
      <c r="P27" s="26">
        <f t="shared" si="18"/>
        <v>376413.31181249989</v>
      </c>
      <c r="Q27" s="26">
        <f t="shared" si="18"/>
        <v>438600.40874999983</v>
      </c>
      <c r="R27" s="26">
        <f t="shared" si="18"/>
        <v>501637.20693749987</v>
      </c>
      <c r="S27" s="26">
        <f t="shared" si="18"/>
        <v>565523.70637499983</v>
      </c>
      <c r="T27" s="26">
        <f t="shared" si="18"/>
        <v>630259.9070624999</v>
      </c>
      <c r="U27" s="26">
        <f t="shared" si="18"/>
        <v>695845.80899999978</v>
      </c>
      <c r="V27" s="26">
        <f t="shared" si="18"/>
        <v>762281.41218749993</v>
      </c>
    </row>
    <row r="29" spans="1:26" ht="16" x14ac:dyDescent="0.15">
      <c r="A29" s="24" t="s">
        <v>48</v>
      </c>
      <c r="B29" s="13" t="s">
        <v>75</v>
      </c>
      <c r="C29" s="26">
        <f>C16-C27</f>
        <v>16913.741666666661</v>
      </c>
      <c r="D29" s="26">
        <f>D16-D27</f>
        <v>17221.695864583329</v>
      </c>
      <c r="E29" s="26">
        <f>E16-E27</f>
        <v>18444.640124999991</v>
      </c>
      <c r="F29" s="26">
        <f t="shared" ref="F29:V29" si="19">F16-F27</f>
        <v>26431.259724999996</v>
      </c>
      <c r="G29" s="26">
        <f t="shared" si="19"/>
        <v>27690.089299999992</v>
      </c>
      <c r="H29" s="26">
        <f t="shared" si="19"/>
        <v>28951.995374999991</v>
      </c>
      <c r="I29" s="26">
        <f t="shared" si="19"/>
        <v>24719.051041666644</v>
      </c>
      <c r="J29" s="26">
        <f t="shared" si="19"/>
        <v>25507.513645833329</v>
      </c>
      <c r="K29" s="26">
        <f t="shared" si="19"/>
        <v>39321.375099999976</v>
      </c>
      <c r="L29" s="26">
        <f t="shared" si="19"/>
        <v>41087.246237499974</v>
      </c>
      <c r="M29" s="26">
        <f t="shared" si="19"/>
        <v>42858.365958333277</v>
      </c>
      <c r="N29" s="26">
        <f t="shared" si="19"/>
        <v>44634.734262499958</v>
      </c>
      <c r="O29" s="26">
        <f t="shared" si="19"/>
        <v>186401.85914624983</v>
      </c>
      <c r="P29" s="26">
        <f t="shared" si="19"/>
        <v>209472.61421062483</v>
      </c>
      <c r="Q29" s="26">
        <f t="shared" si="19"/>
        <v>355629.61263749993</v>
      </c>
      <c r="R29" s="26">
        <f t="shared" si="19"/>
        <v>503777.85442687484</v>
      </c>
      <c r="S29" s="26">
        <f t="shared" si="19"/>
        <v>653917.33957874984</v>
      </c>
      <c r="T29" s="26">
        <f t="shared" si="19"/>
        <v>806048.06809312466</v>
      </c>
      <c r="U29" s="26">
        <f t="shared" si="19"/>
        <v>960170.03996999993</v>
      </c>
      <c r="V29" s="26">
        <f t="shared" si="19"/>
        <v>1116283.2552093747</v>
      </c>
    </row>
    <row r="30" spans="1:26" ht="16" x14ac:dyDescent="0.15">
      <c r="A30" s="27" t="s">
        <v>49</v>
      </c>
      <c r="B30" s="6" t="s">
        <v>76</v>
      </c>
      <c r="C30" s="28">
        <f>C29/C16</f>
        <v>0.40406230483949274</v>
      </c>
      <c r="D30" s="28">
        <f>D29/D16</f>
        <v>0.38093309627231314</v>
      </c>
      <c r="E30" s="28">
        <f>E29/E16</f>
        <v>0.35148580959953285</v>
      </c>
      <c r="F30" s="28">
        <f t="shared" ref="F30:V30" si="20">F29/F16</f>
        <v>0.38235550043061151</v>
      </c>
      <c r="G30" s="28">
        <f t="shared" si="20"/>
        <v>0.3619800847069361</v>
      </c>
      <c r="H30" s="28">
        <f t="shared" si="20"/>
        <v>0.34508693056971007</v>
      </c>
      <c r="I30" s="28">
        <f t="shared" si="20"/>
        <v>0.28914898026687191</v>
      </c>
      <c r="J30" s="28">
        <f t="shared" si="20"/>
        <v>0.27582951521880916</v>
      </c>
      <c r="K30" s="28">
        <f t="shared" si="20"/>
        <v>0.34732809071103848</v>
      </c>
      <c r="L30" s="28">
        <f t="shared" si="20"/>
        <v>0.33890227227818409</v>
      </c>
      <c r="M30" s="28">
        <f t="shared" si="20"/>
        <v>0.33147361672801462</v>
      </c>
      <c r="N30" s="28">
        <f t="shared" si="20"/>
        <v>0.32487229843565008</v>
      </c>
      <c r="O30" s="28">
        <f t="shared" si="20"/>
        <v>0.3694178007682592</v>
      </c>
      <c r="P30" s="28">
        <f t="shared" si="20"/>
        <v>0.35753139801886452</v>
      </c>
      <c r="Q30" s="28">
        <f t="shared" si="20"/>
        <v>0.447766519850539</v>
      </c>
      <c r="R30" s="28">
        <f t="shared" si="20"/>
        <v>0.50106455909187897</v>
      </c>
      <c r="S30" s="28">
        <f t="shared" si="20"/>
        <v>0.53624350414357902</v>
      </c>
      <c r="T30" s="28">
        <f t="shared" si="20"/>
        <v>0.56119445274666047</v>
      </c>
      <c r="U30" s="28">
        <f t="shared" si="20"/>
        <v>0.57980727694556888</v>
      </c>
      <c r="V30" s="28">
        <f t="shared" si="20"/>
        <v>0.5942213619700446</v>
      </c>
    </row>
    <row r="32" spans="1:26" x14ac:dyDescent="0.15">
      <c r="A32" s="6" t="s">
        <v>36</v>
      </c>
      <c r="B32" s="30" t="s">
        <v>80</v>
      </c>
      <c r="C32" s="16">
        <f>C1*(1430.12+1500)</f>
        <v>2930.12</v>
      </c>
      <c r="D32" s="16">
        <f>D1*(1430.12+1500)</f>
        <v>2937.4452999999999</v>
      </c>
      <c r="E32" s="16">
        <f t="shared" ref="E32:N32" si="21">E1*(1430.12+3500)</f>
        <v>4954.7705999999989</v>
      </c>
      <c r="F32" s="16">
        <f t="shared" si="21"/>
        <v>4967.0958999999993</v>
      </c>
      <c r="G32" s="16">
        <f t="shared" si="21"/>
        <v>4979.4211999999989</v>
      </c>
      <c r="H32" s="16">
        <f t="shared" si="21"/>
        <v>4991.7464999999984</v>
      </c>
      <c r="I32" s="16">
        <f t="shared" si="21"/>
        <v>5004.0717999999979</v>
      </c>
      <c r="J32" s="16">
        <f t="shared" si="21"/>
        <v>5016.3970999999983</v>
      </c>
      <c r="K32" s="16">
        <f t="shared" si="21"/>
        <v>5028.7223999999978</v>
      </c>
      <c r="L32" s="16">
        <f t="shared" si="21"/>
        <v>5041.0476999999973</v>
      </c>
      <c r="M32" s="16">
        <f t="shared" si="21"/>
        <v>5053.3729999999969</v>
      </c>
      <c r="N32" s="16">
        <f t="shared" si="21"/>
        <v>5065.6982999999973</v>
      </c>
      <c r="O32" s="16">
        <f>O1*3*(1430.12+3500*(((O33/3)-N33)/(N33)+1))</f>
        <v>15358.543150741427</v>
      </c>
      <c r="P32" s="16">
        <f t="shared" ref="P32:U32" si="22">P1*3*(1430.12+3500*((Q33-P33)/(P33)+1))</f>
        <v>15498.010823541807</v>
      </c>
      <c r="Q32" s="16">
        <f t="shared" si="22"/>
        <v>15608.936296833204</v>
      </c>
      <c r="R32" s="16">
        <f t="shared" si="22"/>
        <v>15719.861801831892</v>
      </c>
      <c r="S32" s="16">
        <f t="shared" si="22"/>
        <v>15830.787337865411</v>
      </c>
      <c r="T32" s="16">
        <f t="shared" si="22"/>
        <v>15941.712904280181</v>
      </c>
      <c r="U32" s="16">
        <f t="shared" si="22"/>
        <v>16052.638500440858</v>
      </c>
      <c r="V32" s="16">
        <f>U32</f>
        <v>16052.638500440858</v>
      </c>
      <c r="Y32"/>
      <c r="Z32"/>
    </row>
    <row r="33" spans="1:26" x14ac:dyDescent="0.15">
      <c r="A33" s="6" t="s">
        <v>37</v>
      </c>
      <c r="B33" s="30" t="s">
        <v>81</v>
      </c>
      <c r="C33" s="16">
        <f>C1*12500+C34</f>
        <v>14150</v>
      </c>
      <c r="D33" s="16">
        <f>D1*12500+D34</f>
        <v>14181.25</v>
      </c>
      <c r="E33" s="16">
        <f>E1*16000+E34</f>
        <v>17730</v>
      </c>
      <c r="F33" s="16">
        <f>F1*16000+F34</f>
        <v>24834.874999999996</v>
      </c>
      <c r="G33" s="16">
        <f>G1*16000+G34</f>
        <v>24896.499999999993</v>
      </c>
      <c r="H33" s="16">
        <f>H1*16000+H34</f>
        <v>24958.124999999993</v>
      </c>
      <c r="I33" s="16">
        <f>I1*16000+I34</f>
        <v>30668.124999999993</v>
      </c>
      <c r="J33" s="16">
        <f>J1*21000+J34</f>
        <v>35831.249999999985</v>
      </c>
      <c r="K33" s="16">
        <f>K1*21000+K34</f>
        <v>35919.374999999985</v>
      </c>
      <c r="L33" s="16">
        <f>L1*21000+L34</f>
        <v>47227.499999999978</v>
      </c>
      <c r="M33" s="16">
        <f>M1*21000+M34</f>
        <v>47343.124999999978</v>
      </c>
      <c r="N33" s="16">
        <f>N1*21000+N34</f>
        <v>47458.749999999971</v>
      </c>
      <c r="O33" s="16">
        <f t="shared" ref="O33:V33" si="23">3*O1*21000+O34</f>
        <v>143038.12499999994</v>
      </c>
      <c r="P33" s="16">
        <f t="shared" si="23"/>
        <v>144078.74999999994</v>
      </c>
      <c r="Q33" s="16">
        <f t="shared" si="23"/>
        <v>145119.37499999994</v>
      </c>
      <c r="R33" s="16">
        <f t="shared" si="23"/>
        <v>146159.99999999994</v>
      </c>
      <c r="S33" s="16">
        <f t="shared" si="23"/>
        <v>147200.62499999994</v>
      </c>
      <c r="T33" s="16">
        <f t="shared" si="23"/>
        <v>148241.24999999997</v>
      </c>
      <c r="U33" s="16">
        <f t="shared" si="23"/>
        <v>149281.87499999997</v>
      </c>
      <c r="V33" s="16">
        <f t="shared" si="23"/>
        <v>150322.5</v>
      </c>
      <c r="Y33"/>
      <c r="Z33"/>
    </row>
    <row r="34" spans="1:26" x14ac:dyDescent="0.15">
      <c r="A34" s="32" t="s">
        <v>55</v>
      </c>
      <c r="B34" s="47" t="s">
        <v>77</v>
      </c>
      <c r="C34" s="48">
        <v>1650</v>
      </c>
      <c r="D34" s="48">
        <v>1650</v>
      </c>
      <c r="E34" s="48">
        <v>1650</v>
      </c>
      <c r="F34" s="48">
        <f>8650*F1</f>
        <v>8714.8749999999982</v>
      </c>
      <c r="G34" s="48">
        <f>8650*G1</f>
        <v>8736.4999999999982</v>
      </c>
      <c r="H34" s="48">
        <f>8650*H1</f>
        <v>8758.1249999999982</v>
      </c>
      <c r="I34" s="48">
        <f>14250*H1</f>
        <v>14428.124999999996</v>
      </c>
      <c r="J34" s="48">
        <f>14250*I1</f>
        <v>14463.749999999995</v>
      </c>
      <c r="K34" s="48">
        <f>14250*J1</f>
        <v>14499.374999999995</v>
      </c>
      <c r="L34" s="48">
        <f>25250*K1</f>
        <v>25754.999999999989</v>
      </c>
      <c r="M34" s="48">
        <f>25250*L1</f>
        <v>25818.124999999989</v>
      </c>
      <c r="N34" s="48">
        <f>25250*M1</f>
        <v>25881.249999999985</v>
      </c>
      <c r="O34" s="48">
        <f t="shared" ref="O34:V34" si="24">3*25250*N1</f>
        <v>77833.124999999956</v>
      </c>
      <c r="P34" s="48">
        <f t="shared" si="24"/>
        <v>78401.249999999956</v>
      </c>
      <c r="Q34" s="48">
        <f t="shared" si="24"/>
        <v>78969.374999999971</v>
      </c>
      <c r="R34" s="48">
        <f t="shared" si="24"/>
        <v>79537.499999999971</v>
      </c>
      <c r="S34" s="48">
        <f t="shared" si="24"/>
        <v>80105.624999999971</v>
      </c>
      <c r="T34" s="48">
        <f t="shared" si="24"/>
        <v>80673.749999999985</v>
      </c>
      <c r="U34" s="48">
        <f t="shared" si="24"/>
        <v>81241.874999999985</v>
      </c>
      <c r="V34" s="48">
        <f t="shared" si="24"/>
        <v>81809.999999999985</v>
      </c>
      <c r="Y34"/>
      <c r="Z34"/>
    </row>
    <row r="35" spans="1:26" x14ac:dyDescent="0.15">
      <c r="A35" s="6" t="s">
        <v>38</v>
      </c>
      <c r="B35" s="30" t="s">
        <v>110</v>
      </c>
      <c r="C35" s="16">
        <f>C16*0.01</f>
        <v>418.59241666666662</v>
      </c>
      <c r="D35" s="16">
        <f t="shared" ref="D35:V35" si="25">D16*0.01</f>
        <v>452.09240239583329</v>
      </c>
      <c r="E35" s="16">
        <f t="shared" si="25"/>
        <v>524.76201374999994</v>
      </c>
      <c r="F35" s="16">
        <f t="shared" si="25"/>
        <v>691.27447349999989</v>
      </c>
      <c r="G35" s="16">
        <f t="shared" si="25"/>
        <v>764.96167799999978</v>
      </c>
      <c r="H35" s="16">
        <f t="shared" si="25"/>
        <v>838.97687249999979</v>
      </c>
      <c r="I35" s="16">
        <f t="shared" si="25"/>
        <v>854.88978791666625</v>
      </c>
      <c r="J35" s="16">
        <f t="shared" si="25"/>
        <v>924.75649770833309</v>
      </c>
      <c r="K35" s="16">
        <f t="shared" si="25"/>
        <v>1132.1104209999994</v>
      </c>
      <c r="L35" s="16">
        <f t="shared" si="25"/>
        <v>1212.3626661249994</v>
      </c>
      <c r="M35" s="16">
        <f t="shared" si="25"/>
        <v>1292.9646220833324</v>
      </c>
      <c r="N35" s="16">
        <f t="shared" si="25"/>
        <v>1373.9162888749993</v>
      </c>
      <c r="O35" s="16">
        <f t="shared" si="25"/>
        <v>5045.8277527124974</v>
      </c>
      <c r="P35" s="16">
        <f t="shared" si="25"/>
        <v>5858.8592602312474</v>
      </c>
      <c r="Q35" s="16">
        <f t="shared" si="25"/>
        <v>7942.300213874998</v>
      </c>
      <c r="R35" s="16">
        <f t="shared" si="25"/>
        <v>10054.150613643747</v>
      </c>
      <c r="S35" s="16">
        <f t="shared" si="25"/>
        <v>12194.410459537497</v>
      </c>
      <c r="T35" s="16">
        <f t="shared" si="25"/>
        <v>14363.079751556246</v>
      </c>
      <c r="U35" s="16">
        <f t="shared" si="25"/>
        <v>16560.158489699996</v>
      </c>
      <c r="V35" s="16">
        <f t="shared" si="25"/>
        <v>18785.646673968746</v>
      </c>
      <c r="Y35"/>
      <c r="Z35"/>
    </row>
    <row r="36" spans="1:26" x14ac:dyDescent="0.15">
      <c r="A36" s="6" t="s">
        <v>39</v>
      </c>
      <c r="B36" s="30" t="s">
        <v>111</v>
      </c>
      <c r="C36" s="16">
        <f>C16*0.03</f>
        <v>1255.7772499999999</v>
      </c>
      <c r="D36" s="16">
        <f t="shared" ref="D36:V36" si="26">D16*0.03</f>
        <v>1356.2772071874997</v>
      </c>
      <c r="E36" s="16">
        <f t="shared" si="26"/>
        <v>1574.2860412499997</v>
      </c>
      <c r="F36" s="16">
        <f t="shared" si="26"/>
        <v>2073.8234204999994</v>
      </c>
      <c r="G36" s="16">
        <f t="shared" si="26"/>
        <v>2294.8850339999995</v>
      </c>
      <c r="H36" s="16">
        <f t="shared" si="26"/>
        <v>2516.9306174999992</v>
      </c>
      <c r="I36" s="16">
        <f t="shared" si="26"/>
        <v>2564.6693637499989</v>
      </c>
      <c r="J36" s="16">
        <f t="shared" si="26"/>
        <v>2774.2694931249989</v>
      </c>
      <c r="K36" s="16">
        <f t="shared" si="26"/>
        <v>3396.3312629999982</v>
      </c>
      <c r="L36" s="16">
        <f t="shared" si="26"/>
        <v>3637.0879983749978</v>
      </c>
      <c r="M36" s="16">
        <f t="shared" si="26"/>
        <v>3878.8938662499968</v>
      </c>
      <c r="N36" s="16">
        <f t="shared" si="26"/>
        <v>4121.7488666249974</v>
      </c>
      <c r="O36" s="16">
        <f t="shared" si="26"/>
        <v>15137.48325813749</v>
      </c>
      <c r="P36" s="16">
        <f t="shared" si="26"/>
        <v>17576.57778069374</v>
      </c>
      <c r="Q36" s="16">
        <f t="shared" si="26"/>
        <v>23826.90064162499</v>
      </c>
      <c r="R36" s="16">
        <f t="shared" si="26"/>
        <v>30162.45184093124</v>
      </c>
      <c r="S36" s="16">
        <f t="shared" si="26"/>
        <v>36583.231378612487</v>
      </c>
      <c r="T36" s="16">
        <f t="shared" si="26"/>
        <v>43089.239254668733</v>
      </c>
      <c r="U36" s="16">
        <f t="shared" si="26"/>
        <v>49680.475469099991</v>
      </c>
      <c r="V36" s="16">
        <f t="shared" si="26"/>
        <v>56356.940021906237</v>
      </c>
      <c r="Y36"/>
      <c r="Z36"/>
    </row>
    <row r="37" spans="1:26" x14ac:dyDescent="0.15">
      <c r="A37" s="6" t="s">
        <v>40</v>
      </c>
      <c r="B37" s="30" t="s">
        <v>78</v>
      </c>
      <c r="C37" s="16">
        <f>C1*(299+471+1155/3+200)</f>
        <v>1355</v>
      </c>
      <c r="D37" s="16">
        <f t="shared" ref="D37:F37" si="27">D1*(299+471+1155/3+200)</f>
        <v>1358.3874999999998</v>
      </c>
      <c r="E37" s="16">
        <f t="shared" si="27"/>
        <v>1361.7749999999999</v>
      </c>
      <c r="F37" s="16">
        <f t="shared" si="27"/>
        <v>1365.1624999999997</v>
      </c>
      <c r="G37" s="16">
        <f>G1*(299+471+1155/3+200)</f>
        <v>1368.5499999999997</v>
      </c>
      <c r="H37" s="16">
        <f>H1*(299+471+1155/3+200+7900)</f>
        <v>9370.6874999999982</v>
      </c>
      <c r="I37" s="16">
        <f t="shared" ref="I37:N37" si="28">I1*(299+471+1155/3+200)</f>
        <v>1375.3249999999996</v>
      </c>
      <c r="J37" s="16">
        <f t="shared" si="28"/>
        <v>1378.7124999999994</v>
      </c>
      <c r="K37" s="16">
        <f t="shared" si="28"/>
        <v>1382.0999999999995</v>
      </c>
      <c r="L37" s="16">
        <f t="shared" si="28"/>
        <v>1385.4874999999993</v>
      </c>
      <c r="M37" s="16">
        <f t="shared" si="28"/>
        <v>1388.8749999999993</v>
      </c>
      <c r="N37" s="16">
        <f t="shared" si="28"/>
        <v>1392.2624999999991</v>
      </c>
      <c r="O37" s="16">
        <f t="shared" ref="O37:V37" si="29">O1*(3*(299+471+1555+200))+7900/4</f>
        <v>9815.1249999999964</v>
      </c>
      <c r="P37" s="16">
        <f t="shared" si="29"/>
        <v>9871.9374999999964</v>
      </c>
      <c r="Q37" s="16">
        <f t="shared" si="29"/>
        <v>9928.7499999999964</v>
      </c>
      <c r="R37" s="16">
        <f t="shared" si="29"/>
        <v>9985.5624999999964</v>
      </c>
      <c r="S37" s="16">
        <f t="shared" si="29"/>
        <v>10042.374999999998</v>
      </c>
      <c r="T37" s="16">
        <f t="shared" si="29"/>
        <v>10099.187499999998</v>
      </c>
      <c r="U37" s="16">
        <f t="shared" si="29"/>
        <v>10156</v>
      </c>
      <c r="V37" s="16">
        <f t="shared" si="29"/>
        <v>10212.8125</v>
      </c>
      <c r="Y37"/>
      <c r="Z37"/>
    </row>
    <row r="38" spans="1:26" x14ac:dyDescent="0.15">
      <c r="A38" s="6" t="s">
        <v>41</v>
      </c>
      <c r="B38" s="30" t="s">
        <v>79</v>
      </c>
      <c r="C38" s="16">
        <v>2000</v>
      </c>
      <c r="D38" s="16">
        <v>2040</v>
      </c>
      <c r="E38" s="16">
        <v>2080.8000000000002</v>
      </c>
      <c r="F38" s="16">
        <v>2122.4160000000002</v>
      </c>
      <c r="G38" s="16">
        <v>2164.8643200000001</v>
      </c>
      <c r="H38" s="16">
        <v>2208.1616064</v>
      </c>
      <c r="I38" s="16">
        <v>2252.3248385279999</v>
      </c>
      <c r="J38" s="16">
        <v>2297.3713352985601</v>
      </c>
      <c r="K38" s="16">
        <v>2343.3187620045314</v>
      </c>
      <c r="L38" s="16">
        <v>2390.1851372446222</v>
      </c>
      <c r="M38" s="16">
        <v>2437.9888399895149</v>
      </c>
      <c r="N38" s="16">
        <v>2486.7486167893053</v>
      </c>
      <c r="O38" s="16">
        <v>7609.4507673752742</v>
      </c>
      <c r="P38" s="16">
        <v>7761.6397827227802</v>
      </c>
      <c r="Q38" s="16">
        <v>7916.8725783772361</v>
      </c>
      <c r="R38" s="16">
        <v>8075.2100299447811</v>
      </c>
      <c r="S38" s="16">
        <v>8236.7142305436773</v>
      </c>
      <c r="T38" s="16">
        <v>8401.4485151545505</v>
      </c>
      <c r="U38" s="16">
        <v>8569.4774854576408</v>
      </c>
      <c r="V38" s="16">
        <v>8740.8670351667934</v>
      </c>
      <c r="Y38"/>
      <c r="Z38"/>
    </row>
    <row r="39" spans="1:26" x14ac:dyDescent="0.15">
      <c r="A39" s="6" t="s">
        <v>42</v>
      </c>
      <c r="B39" s="30" t="s">
        <v>82</v>
      </c>
      <c r="C39" s="16">
        <f>9212*1.035</f>
        <v>9534.42</v>
      </c>
      <c r="D39" s="16">
        <f t="shared" ref="D39:N39" si="30">9212*1.035</f>
        <v>9534.42</v>
      </c>
      <c r="E39" s="16">
        <f t="shared" si="30"/>
        <v>9534.42</v>
      </c>
      <c r="F39" s="16">
        <f t="shared" si="30"/>
        <v>9534.42</v>
      </c>
      <c r="G39" s="16">
        <f t="shared" si="30"/>
        <v>9534.42</v>
      </c>
      <c r="H39" s="16">
        <f t="shared" si="30"/>
        <v>9534.42</v>
      </c>
      <c r="I39" s="16">
        <f t="shared" si="30"/>
        <v>9534.42</v>
      </c>
      <c r="J39" s="16">
        <f t="shared" si="30"/>
        <v>9534.42</v>
      </c>
      <c r="K39" s="16">
        <f t="shared" si="30"/>
        <v>9534.42</v>
      </c>
      <c r="L39" s="16">
        <f t="shared" si="30"/>
        <v>9534.42</v>
      </c>
      <c r="M39" s="16">
        <f t="shared" si="30"/>
        <v>9534.42</v>
      </c>
      <c r="N39" s="16">
        <f t="shared" si="30"/>
        <v>9534.42</v>
      </c>
      <c r="O39" s="16">
        <f t="shared" ref="O39:V39" si="31">3*9212*1.035*O1</f>
        <v>29604.374099999983</v>
      </c>
      <c r="P39" s="16">
        <f t="shared" si="31"/>
        <v>29818.898549999984</v>
      </c>
      <c r="Q39" s="16">
        <f t="shared" si="31"/>
        <v>30033.422999999988</v>
      </c>
      <c r="R39" s="16">
        <f t="shared" si="31"/>
        <v>30247.947449999989</v>
      </c>
      <c r="S39" s="16">
        <f t="shared" si="31"/>
        <v>30462.47189999999</v>
      </c>
      <c r="T39" s="16">
        <f t="shared" si="31"/>
        <v>30676.996349999994</v>
      </c>
      <c r="U39" s="16">
        <f t="shared" si="31"/>
        <v>30891.520799999995</v>
      </c>
      <c r="V39" s="16">
        <f t="shared" si="31"/>
        <v>31106.045249999996</v>
      </c>
      <c r="Y39"/>
      <c r="Z39"/>
    </row>
    <row r="40" spans="1:26" ht="16" x14ac:dyDescent="0.15">
      <c r="A40" s="24" t="s">
        <v>50</v>
      </c>
      <c r="B40" s="13" t="s">
        <v>83</v>
      </c>
      <c r="C40" s="26">
        <f t="shared" ref="C40:V40" si="32">SUM(C32:C39)-C34</f>
        <v>31643.909666666666</v>
      </c>
      <c r="D40" s="26">
        <f t="shared" si="32"/>
        <v>31859.872409583331</v>
      </c>
      <c r="E40" s="26">
        <f t="shared" si="32"/>
        <v>37760.813655000005</v>
      </c>
      <c r="F40" s="26">
        <f t="shared" si="32"/>
        <v>45589.067293999986</v>
      </c>
      <c r="G40" s="26">
        <f t="shared" si="32"/>
        <v>46003.60223199999</v>
      </c>
      <c r="H40" s="26">
        <f t="shared" si="32"/>
        <v>54419.048096399987</v>
      </c>
      <c r="I40" s="26">
        <f t="shared" si="32"/>
        <v>52253.825790194664</v>
      </c>
      <c r="J40" s="26">
        <f t="shared" si="32"/>
        <v>57757.176926131877</v>
      </c>
      <c r="K40" s="26">
        <f t="shared" si="32"/>
        <v>58736.377846004507</v>
      </c>
      <c r="L40" s="26">
        <f t="shared" si="32"/>
        <v>70428.0910017446</v>
      </c>
      <c r="M40" s="26">
        <f t="shared" si="32"/>
        <v>70929.640328322828</v>
      </c>
      <c r="N40" s="26">
        <f t="shared" si="32"/>
        <v>71433.544572289276</v>
      </c>
      <c r="O40" s="26">
        <f t="shared" si="32"/>
        <v>225608.92902896658</v>
      </c>
      <c r="P40" s="26">
        <f t="shared" si="32"/>
        <v>230464.67369718954</v>
      </c>
      <c r="Q40" s="26">
        <f t="shared" si="32"/>
        <v>240376.5577307104</v>
      </c>
      <c r="R40" s="26">
        <f t="shared" si="32"/>
        <v>250405.1842363516</v>
      </c>
      <c r="S40" s="26">
        <f t="shared" si="32"/>
        <v>260550.61530655905</v>
      </c>
      <c r="T40" s="26">
        <f t="shared" si="32"/>
        <v>270812.9142756596</v>
      </c>
      <c r="U40" s="26">
        <f t="shared" si="32"/>
        <v>281192.14574469847</v>
      </c>
      <c r="V40" s="26">
        <f t="shared" si="32"/>
        <v>291577.44998148258</v>
      </c>
    </row>
    <row r="41" spans="1:26" ht="16" x14ac:dyDescent="0.15">
      <c r="A41" s="24"/>
      <c r="B41" s="24"/>
      <c r="C41" s="24"/>
      <c r="D41" s="24"/>
      <c r="E41" s="24"/>
      <c r="F41" s="24"/>
      <c r="G41" s="24"/>
      <c r="H41" s="24"/>
      <c r="I41" s="24"/>
      <c r="J41" s="24"/>
      <c r="K41" s="24"/>
      <c r="L41" s="24"/>
      <c r="M41" s="24"/>
      <c r="N41" s="24"/>
      <c r="O41" s="24"/>
      <c r="P41" s="24"/>
      <c r="Q41" s="24"/>
      <c r="R41" s="24"/>
      <c r="S41" s="24"/>
      <c r="T41" s="24"/>
      <c r="U41" s="24"/>
      <c r="V41" s="24"/>
    </row>
    <row r="42" spans="1:26" ht="16" x14ac:dyDescent="0.15">
      <c r="A42" s="24" t="s">
        <v>21</v>
      </c>
      <c r="B42" s="24" t="s">
        <v>21</v>
      </c>
      <c r="C42" s="26">
        <f t="shared" ref="C42:V42" si="33">C29-C40</f>
        <v>-14730.168000000005</v>
      </c>
      <c r="D42" s="26">
        <f t="shared" si="33"/>
        <v>-14638.176545000002</v>
      </c>
      <c r="E42" s="26">
        <f t="shared" si="33"/>
        <v>-19316.173530000015</v>
      </c>
      <c r="F42" s="26">
        <f t="shared" si="33"/>
        <v>-19157.80756899999</v>
      </c>
      <c r="G42" s="26">
        <f t="shared" si="33"/>
        <v>-18313.512931999998</v>
      </c>
      <c r="H42" s="26">
        <f t="shared" si="33"/>
        <v>-25467.052721399996</v>
      </c>
      <c r="I42" s="26">
        <f t="shared" si="33"/>
        <v>-27534.77474852802</v>
      </c>
      <c r="J42" s="26">
        <f t="shared" si="33"/>
        <v>-32249.663280298548</v>
      </c>
      <c r="K42" s="26">
        <f t="shared" si="33"/>
        <v>-19415.002746004531</v>
      </c>
      <c r="L42" s="26">
        <f t="shared" si="33"/>
        <v>-29340.844764244626</v>
      </c>
      <c r="M42" s="26">
        <f t="shared" si="33"/>
        <v>-28071.274369989551</v>
      </c>
      <c r="N42" s="26">
        <f t="shared" si="33"/>
        <v>-26798.810309789318</v>
      </c>
      <c r="O42" s="26">
        <f t="shared" si="33"/>
        <v>-39207.069882716751</v>
      </c>
      <c r="P42" s="26">
        <f t="shared" si="33"/>
        <v>-20992.059486564714</v>
      </c>
      <c r="Q42" s="26">
        <f t="shared" si="33"/>
        <v>115253.05490678953</v>
      </c>
      <c r="R42" s="26">
        <f t="shared" si="33"/>
        <v>253372.67019052323</v>
      </c>
      <c r="S42" s="26">
        <f t="shared" si="33"/>
        <v>393366.72427219083</v>
      </c>
      <c r="T42" s="26">
        <f t="shared" si="33"/>
        <v>535235.15381746506</v>
      </c>
      <c r="U42" s="26">
        <f t="shared" si="33"/>
        <v>678977.89422530145</v>
      </c>
      <c r="V42" s="26">
        <f t="shared" si="33"/>
        <v>824705.80522789212</v>
      </c>
    </row>
    <row r="43" spans="1:26" x14ac:dyDescent="0.15">
      <c r="N43" s="8"/>
    </row>
    <row r="44" spans="1:26" x14ac:dyDescent="0.15">
      <c r="B44" s="13" t="s">
        <v>84</v>
      </c>
      <c r="C44" s="31">
        <f>C42</f>
        <v>-14730.168000000005</v>
      </c>
      <c r="D44" s="31">
        <f t="shared" ref="D44:P44" si="34">D42</f>
        <v>-14638.176545000002</v>
      </c>
      <c r="E44" s="31">
        <f t="shared" si="34"/>
        <v>-19316.173530000015</v>
      </c>
      <c r="F44" s="31">
        <f t="shared" si="34"/>
        <v>-19157.80756899999</v>
      </c>
      <c r="G44" s="31">
        <f t="shared" si="34"/>
        <v>-18313.512931999998</v>
      </c>
      <c r="H44" s="31">
        <f t="shared" si="34"/>
        <v>-25467.052721399996</v>
      </c>
      <c r="I44" s="31">
        <f t="shared" si="34"/>
        <v>-27534.77474852802</v>
      </c>
      <c r="J44" s="31">
        <f t="shared" si="34"/>
        <v>-32249.663280298548</v>
      </c>
      <c r="K44" s="31">
        <f t="shared" si="34"/>
        <v>-19415.002746004531</v>
      </c>
      <c r="L44" s="31">
        <f t="shared" si="34"/>
        <v>-29340.844764244626</v>
      </c>
      <c r="M44" s="31">
        <f t="shared" si="34"/>
        <v>-28071.274369989551</v>
      </c>
      <c r="N44" s="31">
        <f t="shared" si="34"/>
        <v>-26798.810309789318</v>
      </c>
      <c r="O44" s="31">
        <f t="shared" si="34"/>
        <v>-39207.069882716751</v>
      </c>
      <c r="P44" s="31">
        <f t="shared" si="34"/>
        <v>-20992.059486564714</v>
      </c>
      <c r="Q44" s="12"/>
      <c r="R44" s="12"/>
    </row>
    <row r="45" spans="1:26" x14ac:dyDescent="0.15">
      <c r="B45" s="13" t="s">
        <v>112</v>
      </c>
      <c r="C45" s="12">
        <v>-14767.692239463999</v>
      </c>
      <c r="D45" s="12"/>
      <c r="E45" s="12"/>
      <c r="F45" s="12"/>
      <c r="G45" s="12"/>
      <c r="H45" s="12"/>
      <c r="I45" s="12"/>
      <c r="J45" s="12"/>
      <c r="K45" s="12"/>
      <c r="L45" s="12"/>
      <c r="M45" s="12"/>
      <c r="N45" s="12"/>
      <c r="O45" s="12"/>
      <c r="P45" s="12"/>
      <c r="Q45" s="12"/>
      <c r="R45" s="12"/>
    </row>
    <row r="47" spans="1:26" x14ac:dyDescent="0.15">
      <c r="B47" s="13" t="s">
        <v>113</v>
      </c>
      <c r="C47" s="31">
        <f>SUM(C44:R45)</f>
        <v>-350000.08312500012</v>
      </c>
    </row>
  </sheetData>
  <phoneticPr fontId="8" type="noConversion"/>
  <pageMargins left="0.7" right="0.7" top="0.75" bottom="0.75" header="0.3" footer="0.3"/>
  <ignoredErrors>
    <ignoredError sqref="C20:D20"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TemplafyTemplateConfiguration><![CDATA[{"transformationConfigurations":[],"templateName":"Blank template","templateDescription":"","enableDocumentContentUpdater":false,"version":"2.0"}]]></TemplafyTemplateConfiguration>
</file>

<file path=customXml/item2.xml><?xml version="1.0" encoding="utf-8"?>
<TemplafyFormConfiguration><![CDATA[{"formFields":[],"formDataEntries":[]}]]></TemplafyFormConfiguration>
</file>

<file path=customXml/itemProps1.xml><?xml version="1.0" encoding="utf-8"?>
<ds:datastoreItem xmlns:ds="http://schemas.openxmlformats.org/officeDocument/2006/customXml" ds:itemID="{9B7C8D3A-20D1-4CAB-80C1-5FA569835925}">
  <ds:schemaRefs/>
</ds:datastoreItem>
</file>

<file path=customXml/itemProps2.xml><?xml version="1.0" encoding="utf-8"?>
<ds:datastoreItem xmlns:ds="http://schemas.openxmlformats.org/officeDocument/2006/customXml" ds:itemID="{108EA176-2076-4BC4-8EB2-8797433B1A1C}">
  <ds:schemaRefs/>
</ds:datastoreItem>
</file>

<file path=docMetadata/LabelInfo.xml><?xml version="1.0" encoding="utf-8"?>
<clbl:labelList xmlns:clbl="http://schemas.microsoft.com/office/2020/mipLabelMetadata">
  <clbl:label id="{7445afc7-8147-48fd-9212-af8008ee1f68}" enabled="1" method="Standard" siteId="{77920909-8782-4efb-aaf1-44ac114d7c03}"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Inputs</vt:lpstr>
      <vt:lpstr>Toelichting cijfers</vt:lpstr>
      <vt:lpstr>Jaarcijfers</vt:lpstr>
      <vt:lpstr>Forecast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Meijer</dc:creator>
  <cp:lastModifiedBy>Tom Meijer</cp:lastModifiedBy>
  <dcterms:created xsi:type="dcterms:W3CDTF">2025-08-19T06:37:51Z</dcterms:created>
  <dcterms:modified xsi:type="dcterms:W3CDTF">2026-03-12T11:40:26Z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fyTenantId">
    <vt:lpwstr>theglobalfund</vt:lpwstr>
  </property>
  <property fmtid="{D5CDD505-2E9C-101B-9397-08002B2CF9AE}" pid="3" name="TemplafyTemplateId">
    <vt:lpwstr>773649471596658702</vt:lpwstr>
  </property>
  <property fmtid="{D5CDD505-2E9C-101B-9397-08002B2CF9AE}" pid="4" name="TemplafyUserProfileId">
    <vt:lpwstr>709319785881010719</vt:lpwstr>
  </property>
  <property fmtid="{D5CDD505-2E9C-101B-9397-08002B2CF9AE}" pid="5" name="TemplafyFromBlank">
    <vt:bool>true</vt:bool>
  </property>
</Properties>
</file>